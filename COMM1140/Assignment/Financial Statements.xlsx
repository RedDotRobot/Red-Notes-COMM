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5"/>
    <sheet state="visible" name="Balance Sheet" sheetId="2" r:id="rId6"/>
    <sheet state="visible" name="Financial Ratios" sheetId="3" r:id="rId7"/>
    <sheet state="visible" name="Graphs" sheetId="4" r:id="rId8"/>
    <sheet state="visible" name="CCA" sheetId="5" r:id="rId9"/>
  </sheets>
  <definedNames/>
  <calcPr/>
</workbook>
</file>

<file path=xl/sharedStrings.xml><?xml version="1.0" encoding="utf-8"?>
<sst xmlns="http://schemas.openxmlformats.org/spreadsheetml/2006/main" count="135" uniqueCount="105">
  <si>
    <t>Total revenue</t>
  </si>
  <si>
    <t>Cost of revenue (COGS)</t>
  </si>
  <si>
    <t>Gross profit</t>
  </si>
  <si>
    <t>Operating expense</t>
  </si>
  <si>
    <t>Operating income</t>
  </si>
  <si>
    <t>Pre-tax income</t>
  </si>
  <si>
    <t>Tax provision</t>
  </si>
  <si>
    <t>Basic EPS</t>
  </si>
  <si>
    <t>Diluted EPS</t>
  </si>
  <si>
    <t>Basic average shares</t>
  </si>
  <si>
    <t>Diluted average shares</t>
  </si>
  <si>
    <t>EBIT</t>
  </si>
  <si>
    <t>EBITDA</t>
  </si>
  <si>
    <t xml:space="preserve"> </t>
  </si>
  <si>
    <t>Assets</t>
  </si>
  <si>
    <t>Current assets</t>
  </si>
  <si>
    <t>Cash and cash equivalents</t>
  </si>
  <si>
    <t>Financial asset investments</t>
  </si>
  <si>
    <t>Trade receivables</t>
  </si>
  <si>
    <t>Contract assets</t>
  </si>
  <si>
    <t>Other assets</t>
  </si>
  <si>
    <t>Other financial assets</t>
  </si>
  <si>
    <t>Current tax receivables</t>
  </si>
  <si>
    <t>Derivative financial instruments</t>
  </si>
  <si>
    <t>Total current assets</t>
  </si>
  <si>
    <t>Non-current assets</t>
  </si>
  <si>
    <t>Property, plant and equipment</t>
  </si>
  <si>
    <t>Intangible assets</t>
  </si>
  <si>
    <t>Right of use asset</t>
  </si>
  <si>
    <t>Investments in joint ventures and associates</t>
  </si>
  <si>
    <t>Deferred tax assets</t>
  </si>
  <si>
    <t>Total non-current assets</t>
  </si>
  <si>
    <t>Total Assets</t>
  </si>
  <si>
    <t>Liabilities</t>
  </si>
  <si>
    <t>Current liabilities</t>
  </si>
  <si>
    <t>Trade and other payables</t>
  </si>
  <si>
    <t>Contract liabilities</t>
  </si>
  <si>
    <t>Financial liabilities</t>
  </si>
  <si>
    <t>Lease liabilities</t>
  </si>
  <si>
    <t>Borrowings</t>
  </si>
  <si>
    <t>Convertible notes</t>
  </si>
  <si>
    <t>Provisions</t>
  </si>
  <si>
    <t>Current tax liabilities</t>
  </si>
  <si>
    <t>Total current liabilities</t>
  </si>
  <si>
    <t>Non-current liabilities</t>
  </si>
  <si>
    <t>Deferred tax liabilities</t>
  </si>
  <si>
    <t>Total non-current liabilities</t>
  </si>
  <si>
    <t>Total liabilities</t>
  </si>
  <si>
    <t>Net assets</t>
  </si>
  <si>
    <t>Equity</t>
  </si>
  <si>
    <t>Contributed equity</t>
  </si>
  <si>
    <t>Treasury shares</t>
  </si>
  <si>
    <t>Reserves</t>
  </si>
  <si>
    <t>Retained profits/(accumulated losses)</t>
  </si>
  <si>
    <t>Equity attributable to the Company owners</t>
  </si>
  <si>
    <t>Non-controlling interests</t>
  </si>
  <si>
    <t>Total equity</t>
  </si>
  <si>
    <t>Online Data</t>
  </si>
  <si>
    <t>Valuation measures</t>
  </si>
  <si>
    <t>Market cap</t>
  </si>
  <si>
    <t>2.44B</t>
  </si>
  <si>
    <t>Enterprise value</t>
  </si>
  <si>
    <t>2.96B</t>
  </si>
  <si>
    <t>Profitability</t>
  </si>
  <si>
    <t>Return on assets</t>
  </si>
  <si>
    <t>Return on equity</t>
  </si>
  <si>
    <t>Profit margin</t>
  </si>
  <si>
    <t>Efficiency</t>
  </si>
  <si>
    <t xml:space="preserve">Asset Turnover </t>
  </si>
  <si>
    <t>Inventory Turnover</t>
  </si>
  <si>
    <t>receivables turnover</t>
  </si>
  <si>
    <t>Liquidity</t>
  </si>
  <si>
    <t>Current Ratio</t>
  </si>
  <si>
    <t>Quick ratio</t>
  </si>
  <si>
    <t>Solvency/Financial Structure</t>
  </si>
  <si>
    <t>Total Debt to Equity</t>
  </si>
  <si>
    <t>Trailing P/E</t>
  </si>
  <si>
    <t>Forward P/E</t>
  </si>
  <si>
    <t>Enterprise value/EBITDA</t>
  </si>
  <si>
    <t>Year</t>
  </si>
  <si>
    <t>Current Ratio Flight Centre</t>
  </si>
  <si>
    <t>Current Ratio Webjet</t>
  </si>
  <si>
    <t>Helloworld Travel</t>
  </si>
  <si>
    <t>Quick Ratio Flight Centre</t>
  </si>
  <si>
    <t>Quick Ratio Webjet</t>
  </si>
  <si>
    <t>Debt to Equity Ratio Flight Centre</t>
  </si>
  <si>
    <t>Debt to Equity Ratio Webjet</t>
  </si>
  <si>
    <t>Debt to Equity Ratio Helloworld Travel</t>
  </si>
  <si>
    <t>Target</t>
  </si>
  <si>
    <t>Flight Centre</t>
  </si>
  <si>
    <t>CTD</t>
  </si>
  <si>
    <t>HLO</t>
  </si>
  <si>
    <t>WEB</t>
  </si>
  <si>
    <t>Revenue</t>
  </si>
  <si>
    <t>Net income</t>
  </si>
  <si>
    <t>Price/Earnings (For comparison)</t>
  </si>
  <si>
    <t>Price/Sales</t>
  </si>
  <si>
    <t>Implied Market cap</t>
  </si>
  <si>
    <t>Using P/E</t>
  </si>
  <si>
    <t>Using P/S</t>
  </si>
  <si>
    <t>Converted Values</t>
  </si>
  <si>
    <t>Price/Earnings</t>
  </si>
  <si>
    <t>Using P/E (For comparison)</t>
  </si>
  <si>
    <t>EV/EBITDA</t>
  </si>
  <si>
    <t>Implied 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</si>
</sst>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(* #,##0_);_(* \(#,##0\);_(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</numFmts>
  <fonts count="11">
    <font>
      <sz val="10.0"/>
      <color rgb="FF000000"/>
      <name val="Arial"/>
      <scheme val="minor"/>
    </font>
    <font>
      <sz val="10.0"/>
      <color theme="1"/>
      <name val="Calibri"/>
    </font>
    <font>
      <b/>
      <sz val="12.0"/>
      <color theme="1"/>
      <name val="Calibri"/>
    </font>
    <font>
      <sz val="10.0"/>
      <color rgb="FF232A3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0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3" numFmtId="164" xfId="0" applyAlignment="1" applyFill="1" applyFont="1" applyNumberFormat="1">
      <alignment readingOrder="0" shrinkToFit="0" wrapText="0"/>
    </xf>
    <xf borderId="0" fillId="0" fontId="1" numFmtId="4" xfId="0" applyAlignment="1" applyFont="1" applyNumberFormat="1">
      <alignment readingOrder="0"/>
    </xf>
    <xf borderId="0" fillId="0" fontId="1" numFmtId="10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164" xfId="0" applyFont="1" applyNumberFormat="1"/>
    <xf borderId="0" fillId="0" fontId="4" numFmtId="165" xfId="0" applyFont="1" applyNumberFormat="1"/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5" xfId="0" applyFont="1" applyNumberFormat="1"/>
    <xf borderId="0" fillId="0" fontId="5" numFmtId="165" xfId="0" applyFont="1" applyNumberFormat="1"/>
    <xf borderId="0" fillId="0" fontId="1" numFmtId="165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0" fontId="8" numFmtId="10" xfId="0" applyAlignment="1" applyFont="1" applyNumberFormat="1">
      <alignment readingOrder="0"/>
    </xf>
    <xf borderId="0" fillId="0" fontId="8" numFmtId="2" xfId="0" applyAlignment="1" applyFont="1" applyNumberFormat="1">
      <alignment readingOrder="0"/>
    </xf>
    <xf borderId="0" fillId="0" fontId="9" numFmtId="0" xfId="0" applyAlignment="1" applyFont="1">
      <alignment vertical="bottom"/>
    </xf>
    <xf borderId="0" fillId="0" fontId="9" numFmtId="2" xfId="0" applyAlignment="1" applyFont="1" applyNumberFormat="1">
      <alignment horizontal="right" vertical="bottom"/>
    </xf>
    <xf borderId="0" fillId="0" fontId="10" numFmtId="166" xfId="0" applyAlignment="1" applyFont="1" applyNumberFormat="1">
      <alignment readingOrder="0"/>
    </xf>
    <xf borderId="0" fillId="0" fontId="8" numFmtId="167" xfId="0" applyFont="1" applyNumberFormat="1"/>
    <xf borderId="0" fillId="0" fontId="10" numFmtId="0" xfId="0" applyFont="1"/>
    <xf borderId="0" fillId="0" fontId="10" numFmtId="166" xfId="0" applyFont="1" applyNumberFormat="1"/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Ratio Graph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Graphs!$A$19:$A$21</c:f>
            </c:strRef>
          </c:cat>
          <c:val>
            <c:numRef>
              <c:f>Graphs!$B$19:$B$21</c:f>
              <c:numCache/>
            </c:numRef>
          </c:val>
          <c:smooth val="0"/>
        </c:ser>
        <c:ser>
          <c:idx val="1"/>
          <c:order val="1"/>
          <c:tx>
            <c:strRef>
              <c:f>Graphs!$C$18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Graphs!$A$19:$A$21</c:f>
            </c:strRef>
          </c:cat>
          <c:val>
            <c:numRef>
              <c:f>Graphs!$C$19:$C$21</c:f>
              <c:numCache/>
            </c:numRef>
          </c:val>
          <c:smooth val="0"/>
        </c:ser>
        <c:ser>
          <c:idx val="2"/>
          <c:order val="2"/>
          <c:tx>
            <c:strRef>
              <c:f>Graphs!$D$18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Graphs!$A$19:$A$21</c:f>
            </c:strRef>
          </c:cat>
          <c:val>
            <c:numRef>
              <c:f>Graphs!$D$19:$D$21</c:f>
              <c:numCache/>
            </c:numRef>
          </c:val>
          <c:smooth val="0"/>
        </c:ser>
        <c:axId val="11415556"/>
        <c:axId val="778230601"/>
      </c:lineChart>
      <c:catAx>
        <c:axId val="11415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230601"/>
      </c:catAx>
      <c:valAx>
        <c:axId val="778230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5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Ratio Graph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Graphs!$G$18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Graphs!$F$19:$F$21</c:f>
            </c:strRef>
          </c:cat>
          <c:val>
            <c:numRef>
              <c:f>Graphs!$G$19:$G$21</c:f>
              <c:numCache/>
            </c:numRef>
          </c:val>
          <c:smooth val="0"/>
        </c:ser>
        <c:ser>
          <c:idx val="1"/>
          <c:order val="1"/>
          <c:tx>
            <c:strRef>
              <c:f>Graphs!$H$18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Graphs!$F$19:$F$21</c:f>
            </c:strRef>
          </c:cat>
          <c:val>
            <c:numRef>
              <c:f>Graphs!$H$19:$H$21</c:f>
              <c:numCache/>
            </c:numRef>
          </c:val>
          <c:smooth val="0"/>
        </c:ser>
        <c:ser>
          <c:idx val="2"/>
          <c:order val="2"/>
          <c:tx>
            <c:strRef>
              <c:f>Graphs!$I$18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Graphs!$F$19:$F$21</c:f>
            </c:strRef>
          </c:cat>
          <c:val>
            <c:numRef>
              <c:f>Graphs!$I$19:$I$21</c:f>
              <c:numCache/>
            </c:numRef>
          </c:val>
          <c:smooth val="0"/>
        </c:ser>
        <c:axId val="528409942"/>
        <c:axId val="1536752969"/>
      </c:lineChart>
      <c:catAx>
        <c:axId val="528409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752969"/>
      </c:catAx>
      <c:valAx>
        <c:axId val="1536752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Quick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409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 to Equity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Graphs!$L$18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Graphs!$K$19:$K$21</c:f>
            </c:strRef>
          </c:cat>
          <c:val>
            <c:numRef>
              <c:f>Graphs!$L$19:$L$21</c:f>
              <c:numCache/>
            </c:numRef>
          </c:val>
          <c:smooth val="0"/>
        </c:ser>
        <c:ser>
          <c:idx val="1"/>
          <c:order val="1"/>
          <c:tx>
            <c:strRef>
              <c:f>Graphs!$M$18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Graphs!$K$19:$K$21</c:f>
            </c:strRef>
          </c:cat>
          <c:val>
            <c:numRef>
              <c:f>Graphs!$M$19:$M$21</c:f>
              <c:numCache/>
            </c:numRef>
          </c:val>
          <c:smooth val="0"/>
        </c:ser>
        <c:ser>
          <c:idx val="2"/>
          <c:order val="2"/>
          <c:tx>
            <c:strRef>
              <c:f>Graphs!$N$18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Graphs!$K$19:$K$21</c:f>
            </c:strRef>
          </c:cat>
          <c:val>
            <c:numRef>
              <c:f>Graphs!$N$19:$N$21</c:f>
              <c:numCache/>
            </c:numRef>
          </c:val>
          <c:smooth val="0"/>
        </c:ser>
        <c:axId val="492921602"/>
        <c:axId val="1729938944"/>
      </c:lineChart>
      <c:catAx>
        <c:axId val="492921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938944"/>
      </c:catAx>
      <c:valAx>
        <c:axId val="1729938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Debt to Equity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921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9525</xdr:rowOff>
    </xdr:from>
    <xdr:ext cx="4600575" cy="3105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323850</xdr:colOff>
      <xdr:row>0</xdr:row>
      <xdr:rowOff>133350</xdr:rowOff>
    </xdr:from>
    <xdr:ext cx="5086350" cy="3105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476250</xdr:colOff>
      <xdr:row>1</xdr:row>
      <xdr:rowOff>28575</xdr:rowOff>
    </xdr:from>
    <xdr:ext cx="4705350" cy="2914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5.63"/>
    <col customWidth="1" min="3" max="4" width="16.0"/>
  </cols>
  <sheetData>
    <row r="1">
      <c r="A1" s="1"/>
      <c r="B1" s="2">
        <v>2025.0</v>
      </c>
      <c r="C1" s="2">
        <v>2024.0</v>
      </c>
      <c r="D1" s="2">
        <v>2023.0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>
        <v>2783944.0</v>
      </c>
      <c r="C2" s="4">
        <v>2710748.0</v>
      </c>
      <c r="D2" s="4">
        <v>2280782.0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>
        <v>-164938.0</v>
      </c>
      <c r="C3" s="4">
        <v>-150067.0</v>
      </c>
      <c r="D3" s="4">
        <v>-99497.0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2</v>
      </c>
      <c r="B4" s="5">
        <v>2619006.0</v>
      </c>
      <c r="C4" s="5">
        <v>2560681.0</v>
      </c>
      <c r="D4" s="5">
        <v>2181285.0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5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3</v>
      </c>
      <c r="B6" s="5">
        <v>-2395955.0</v>
      </c>
      <c r="C6" s="4">
        <v>-2317171.0</v>
      </c>
      <c r="D6" s="4">
        <v>-2065664.0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4</v>
      </c>
      <c r="B7" s="4">
        <v>223051.0</v>
      </c>
      <c r="C7" s="4">
        <v>243510.0</v>
      </c>
      <c r="D7" s="4">
        <v>115621.0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5</v>
      </c>
      <c r="B9" s="4">
        <v>212621.0</v>
      </c>
      <c r="C9" s="4">
        <v>219708.0</v>
      </c>
      <c r="D9" s="4">
        <v>270459.0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6</v>
      </c>
      <c r="B10" s="4">
        <v>104437.0</v>
      </c>
      <c r="C10" s="4">
        <v>80553.0</v>
      </c>
      <c r="D10" s="4">
        <v>23047.0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4"/>
      <c r="C11" s="4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7</v>
      </c>
      <c r="B12" s="4">
        <v>0.5</v>
      </c>
      <c r="C12" s="4">
        <v>0.64</v>
      </c>
      <c r="D12" s="4">
        <v>0.23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8</v>
      </c>
      <c r="B13" s="4">
        <v>0.49</v>
      </c>
      <c r="C13" s="4">
        <v>0.5</v>
      </c>
      <c r="D13" s="4">
        <v>0.23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4">
        <v>220602.68</v>
      </c>
      <c r="C14" s="4">
        <v>219190.06</v>
      </c>
      <c r="D14" s="4">
        <v>205165.14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10</v>
      </c>
      <c r="B15" s="4">
        <v>223446.94</v>
      </c>
      <c r="C15" s="4">
        <v>278163.35</v>
      </c>
      <c r="D15" s="4">
        <v>210937.78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4"/>
      <c r="C16" s="4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11</v>
      </c>
      <c r="B17" s="4">
        <v>266490.0</v>
      </c>
      <c r="C17" s="4">
        <v>289817.0</v>
      </c>
      <c r="D17" s="4">
        <v>147959.0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12</v>
      </c>
      <c r="B18" s="4">
        <v>415880.0</v>
      </c>
      <c r="C18" s="4">
        <v>449143.0</v>
      </c>
      <c r="D18" s="4">
        <v>290052.0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" t="s">
        <v>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7"/>
      <c r="C23" s="7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9.38"/>
    <col customWidth="1" min="9" max="9" width="21.63"/>
  </cols>
  <sheetData>
    <row r="1">
      <c r="A1" s="8"/>
      <c r="B1" s="8"/>
      <c r="C1" s="9">
        <v>2025.0</v>
      </c>
      <c r="D1" s="9">
        <v>2024.0</v>
      </c>
      <c r="E1" s="9">
        <v>2023.0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14</v>
      </c>
      <c r="C2" s="10"/>
      <c r="D2" s="10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8"/>
      <c r="B3" s="9" t="s">
        <v>15</v>
      </c>
      <c r="C3" s="11"/>
      <c r="D3" s="11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3" t="s">
        <v>16</v>
      </c>
      <c r="C4" s="12">
        <v>815511.0</v>
      </c>
      <c r="D4" s="12">
        <v>1138142.0</v>
      </c>
      <c r="E4" s="12">
        <v>1328438.0</v>
      </c>
      <c r="F4" s="8"/>
      <c r="G4" s="8"/>
      <c r="H4" s="8"/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/>
      <c r="B5" s="3" t="s">
        <v>17</v>
      </c>
      <c r="C5" s="12">
        <v>0.0</v>
      </c>
      <c r="D5" s="12">
        <v>10007.0</v>
      </c>
      <c r="E5" s="12">
        <v>20227.0</v>
      </c>
      <c r="F5" s="8"/>
      <c r="G5" s="8"/>
      <c r="H5" s="8"/>
      <c r="I5" s="1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3" t="s">
        <v>18</v>
      </c>
      <c r="C6" s="12">
        <v>910104.0</v>
      </c>
      <c r="D6" s="12">
        <v>885348.0</v>
      </c>
      <c r="E6" s="12">
        <v>834765.0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3" t="s">
        <v>19</v>
      </c>
      <c r="C7" s="12">
        <v>295574.0</v>
      </c>
      <c r="D7" s="12">
        <v>300642.0</v>
      </c>
      <c r="E7" s="12">
        <v>317578.0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3" t="s">
        <v>20</v>
      </c>
      <c r="C8" s="12">
        <v>94138.0</v>
      </c>
      <c r="D8" s="12">
        <v>103701.0</v>
      </c>
      <c r="E8" s="12">
        <v>82488.0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3" t="s">
        <v>21</v>
      </c>
      <c r="C9" s="12">
        <v>19712.0</v>
      </c>
      <c r="D9" s="12">
        <v>22068.0</v>
      </c>
      <c r="E9" s="12">
        <v>25452.0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3" t="s">
        <v>22</v>
      </c>
      <c r="C10" s="12">
        <v>27929.0</v>
      </c>
      <c r="D10" s="12">
        <v>18697.0</v>
      </c>
      <c r="E10" s="12">
        <v>14602.0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3" t="s">
        <v>23</v>
      </c>
      <c r="C11" s="12">
        <v>8835.0</v>
      </c>
      <c r="D11" s="12">
        <v>3988.0</v>
      </c>
      <c r="E11" s="12">
        <v>6490.0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14" t="s">
        <v>24</v>
      </c>
      <c r="C12" s="15">
        <f>sum(C4:C11)</f>
        <v>2171803</v>
      </c>
      <c r="D12" s="15">
        <f t="shared" ref="D12:E12" si="1">SUM(D4:D11)</f>
        <v>2482593</v>
      </c>
      <c r="E12" s="15">
        <f t="shared" si="1"/>
        <v>2630040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11"/>
      <c r="D13" s="11"/>
      <c r="E13" s="11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9" t="s">
        <v>25</v>
      </c>
      <c r="C14" s="11"/>
      <c r="D14" s="11"/>
      <c r="E14" s="11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3" t="s">
        <v>17</v>
      </c>
      <c r="C15" s="12">
        <v>10728.0</v>
      </c>
      <c r="D15" s="12">
        <v>7729.0</v>
      </c>
      <c r="E15" s="12">
        <v>14656.0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3" t="s">
        <v>26</v>
      </c>
      <c r="C16" s="12">
        <v>70987.0</v>
      </c>
      <c r="D16" s="12">
        <v>62599.0</v>
      </c>
      <c r="E16" s="12">
        <v>66653.0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3" t="s">
        <v>27</v>
      </c>
      <c r="C17" s="12">
        <v>1093661.0</v>
      </c>
      <c r="D17" s="12">
        <v>1025048.0</v>
      </c>
      <c r="E17" s="12">
        <v>1054489.0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3" t="s">
        <v>28</v>
      </c>
      <c r="C18" s="12">
        <v>228089.0</v>
      </c>
      <c r="D18" s="12">
        <v>201472.0</v>
      </c>
      <c r="E18" s="12">
        <v>196531.0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3" t="s">
        <v>20</v>
      </c>
      <c r="C19" s="12">
        <v>132400.0</v>
      </c>
      <c r="D19" s="12">
        <v>26702.0</v>
      </c>
      <c r="E19" s="12">
        <v>21608.0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3" t="s">
        <v>21</v>
      </c>
      <c r="C20" s="12">
        <v>34459.0</v>
      </c>
      <c r="D20" s="12">
        <v>1056.0</v>
      </c>
      <c r="E20" s="12">
        <v>3103.0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3" t="s">
        <v>29</v>
      </c>
      <c r="C21" s="12">
        <v>44859.0</v>
      </c>
      <c r="D21" s="12">
        <v>43164.0</v>
      </c>
      <c r="E21" s="12">
        <v>45599.0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3" t="s">
        <v>30</v>
      </c>
      <c r="C22" s="12">
        <v>321503.0</v>
      </c>
      <c r="D22" s="12">
        <v>363918.0</v>
      </c>
      <c r="E22" s="12">
        <v>403748.0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3" t="s">
        <v>23</v>
      </c>
      <c r="C23" s="12">
        <v>586.0</v>
      </c>
      <c r="D23" s="12">
        <v>0.0</v>
      </c>
      <c r="E23" s="12">
        <v>0.0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14" t="s">
        <v>31</v>
      </c>
      <c r="C24" s="15">
        <f t="shared" ref="C24:E24" si="2">SUM(C15:C23)</f>
        <v>1937272</v>
      </c>
      <c r="D24" s="15">
        <f t="shared" si="2"/>
        <v>1731688</v>
      </c>
      <c r="E24" s="15">
        <f t="shared" si="2"/>
        <v>1806387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11"/>
      <c r="D25" s="11"/>
      <c r="E25" s="1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9" t="s">
        <v>32</v>
      </c>
      <c r="C26" s="16">
        <f t="shared" ref="C26:E26" si="3">sum(C12,C24)</f>
        <v>4109075</v>
      </c>
      <c r="D26" s="16">
        <f t="shared" si="3"/>
        <v>4214281</v>
      </c>
      <c r="E26" s="16">
        <f t="shared" si="3"/>
        <v>4436427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11"/>
      <c r="D27" s="11"/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 t="s">
        <v>33</v>
      </c>
      <c r="C28" s="11"/>
      <c r="D28" s="11"/>
      <c r="E28" s="1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9" t="s">
        <v>34</v>
      </c>
      <c r="C29" s="11"/>
      <c r="D29" s="11"/>
      <c r="E29" s="1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3" t="s">
        <v>35</v>
      </c>
      <c r="C30" s="12">
        <v>1643621.0</v>
      </c>
      <c r="D30" s="12">
        <v>1765626.0</v>
      </c>
      <c r="E30" s="12">
        <v>1684600.0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3" t="s">
        <v>36</v>
      </c>
      <c r="C31" s="12">
        <v>95455.0</v>
      </c>
      <c r="D31" s="12">
        <v>90994.0</v>
      </c>
      <c r="E31" s="12">
        <v>71997.0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3" t="s">
        <v>37</v>
      </c>
      <c r="C32" s="12">
        <v>2023.0</v>
      </c>
      <c r="D32" s="12">
        <v>3683.0</v>
      </c>
      <c r="E32" s="12">
        <v>3908.0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3" t="s">
        <v>38</v>
      </c>
      <c r="C33" s="12">
        <v>81689.0</v>
      </c>
      <c r="D33" s="12">
        <v>80752.0</v>
      </c>
      <c r="E33" s="12">
        <v>81869.0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3" t="s">
        <v>39</v>
      </c>
      <c r="C34" s="12">
        <v>16767.0</v>
      </c>
      <c r="D34" s="12">
        <v>11202.0</v>
      </c>
      <c r="E34" s="12">
        <v>57477.0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3" t="s">
        <v>40</v>
      </c>
      <c r="C35" s="12">
        <v>186446.0</v>
      </c>
      <c r="D35" s="12">
        <v>280825.0</v>
      </c>
      <c r="E35" s="12">
        <v>0.0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3" t="s">
        <v>41</v>
      </c>
      <c r="C36" s="12">
        <v>62956.0</v>
      </c>
      <c r="D36" s="12">
        <v>52793.0</v>
      </c>
      <c r="E36" s="12">
        <v>55334.0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3" t="s">
        <v>42</v>
      </c>
      <c r="C37" s="12">
        <v>6802.0</v>
      </c>
      <c r="D37" s="12">
        <v>5336.0</v>
      </c>
      <c r="E37" s="12">
        <v>2295.0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3" t="s">
        <v>23</v>
      </c>
      <c r="C38" s="12">
        <v>15651.0</v>
      </c>
      <c r="D38" s="12">
        <v>6089.0</v>
      </c>
      <c r="E38" s="12">
        <v>9809.0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14" t="s">
        <v>43</v>
      </c>
      <c r="C39" s="15">
        <f t="shared" ref="C39:E39" si="4">SUM(C30:C38)</f>
        <v>2111410</v>
      </c>
      <c r="D39" s="15">
        <f t="shared" si="4"/>
        <v>2297300</v>
      </c>
      <c r="E39" s="15">
        <f t="shared" si="4"/>
        <v>1967289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11"/>
      <c r="D40" s="11"/>
      <c r="E40" s="1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9" t="s">
        <v>44</v>
      </c>
      <c r="C41" s="11"/>
      <c r="D41" s="11"/>
      <c r="E41" s="11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3" t="s">
        <v>35</v>
      </c>
      <c r="C42" s="12">
        <v>61994.0</v>
      </c>
      <c r="D42" s="12">
        <v>2154.0</v>
      </c>
      <c r="E42" s="12">
        <v>2930.0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3" t="s">
        <v>36</v>
      </c>
      <c r="C43" s="12">
        <v>79107.0</v>
      </c>
      <c r="D43" s="12">
        <v>32135.0</v>
      </c>
      <c r="E43" s="12">
        <v>27077.0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3" t="s">
        <v>37</v>
      </c>
      <c r="C44" s="17"/>
      <c r="D44" s="12">
        <v>5915.0</v>
      </c>
      <c r="E44" s="12">
        <v>10573.0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3" t="s">
        <v>38</v>
      </c>
      <c r="C45" s="12">
        <v>182195.0</v>
      </c>
      <c r="D45" s="12">
        <v>173813.0</v>
      </c>
      <c r="E45" s="12">
        <v>177554.0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3" t="s">
        <v>39</v>
      </c>
      <c r="C46" s="12">
        <v>124359.0</v>
      </c>
      <c r="D46" s="12">
        <v>102561.0</v>
      </c>
      <c r="E46" s="12">
        <v>352893.0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3" t="s">
        <v>40</v>
      </c>
      <c r="C47" s="12">
        <v>292655.0</v>
      </c>
      <c r="D47" s="12">
        <v>338999.0</v>
      </c>
      <c r="E47" s="12">
        <v>688940.0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3" t="s">
        <v>41</v>
      </c>
      <c r="C48" s="12">
        <v>26650.0</v>
      </c>
      <c r="D48" s="12">
        <v>26086.0</v>
      </c>
      <c r="E48" s="12">
        <v>27335.0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3" t="s">
        <v>45</v>
      </c>
      <c r="C49" s="12">
        <v>5106.0</v>
      </c>
      <c r="D49" s="12">
        <v>5798.0</v>
      </c>
      <c r="E49" s="12">
        <v>9979.0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3" t="s">
        <v>23</v>
      </c>
      <c r="C50" s="12">
        <v>1973.0</v>
      </c>
      <c r="D50" s="12">
        <v>26317.0</v>
      </c>
      <c r="E50" s="12">
        <v>35360.0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14" t="s">
        <v>46</v>
      </c>
      <c r="C51" s="15">
        <f t="shared" ref="C51:E51" si="5">SUM(C42:C50)</f>
        <v>774039</v>
      </c>
      <c r="D51" s="15">
        <f t="shared" si="5"/>
        <v>713778</v>
      </c>
      <c r="E51" s="15">
        <f t="shared" si="5"/>
        <v>1332641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11"/>
      <c r="D52" s="11"/>
      <c r="E52" s="11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9" t="s">
        <v>47</v>
      </c>
      <c r="C53" s="16">
        <f t="shared" ref="C53:E53" si="6">sum(C39,C51)</f>
        <v>2885449</v>
      </c>
      <c r="D53" s="16">
        <f t="shared" si="6"/>
        <v>3011078</v>
      </c>
      <c r="E53" s="16">
        <f t="shared" si="6"/>
        <v>3299930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11"/>
      <c r="D54" s="11"/>
      <c r="E54" s="11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9" t="s">
        <v>48</v>
      </c>
      <c r="C55" s="16">
        <f t="shared" ref="C55:E55" si="7">C26-C53</f>
        <v>1223626</v>
      </c>
      <c r="D55" s="16">
        <f t="shared" si="7"/>
        <v>1203203</v>
      </c>
      <c r="E55" s="16">
        <f t="shared" si="7"/>
        <v>1136497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11"/>
      <c r="D56" s="11"/>
      <c r="E56" s="11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 t="s">
        <v>49</v>
      </c>
      <c r="C57" s="11"/>
      <c r="D57" s="11"/>
      <c r="E57" s="11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3" t="s">
        <v>50</v>
      </c>
      <c r="C58" s="12">
        <v>1402677.0</v>
      </c>
      <c r="D58" s="12">
        <v>1437888.0</v>
      </c>
      <c r="E58" s="12">
        <v>1374592.0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3" t="s">
        <v>51</v>
      </c>
      <c r="C59" s="12">
        <v>-17793.0</v>
      </c>
      <c r="D59" s="12">
        <v>-27800.0</v>
      </c>
      <c r="E59" s="12">
        <v>-14748.0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3" t="s">
        <v>52</v>
      </c>
      <c r="C60" s="12">
        <v>160621.0</v>
      </c>
      <c r="D60" s="12">
        <v>131969.0</v>
      </c>
      <c r="E60" s="12">
        <v>193068.0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3" t="s">
        <v>53</v>
      </c>
      <c r="C61" s="12">
        <v>-321257.0</v>
      </c>
      <c r="D61" s="12">
        <v>-339777.0</v>
      </c>
      <c r="E61" s="12">
        <v>-417824.0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3" t="s">
        <v>54</v>
      </c>
      <c r="C62" s="17">
        <f t="shared" ref="C62:E62" si="8">SUM(C58:C61)</f>
        <v>1224248</v>
      </c>
      <c r="D62" s="17">
        <f t="shared" si="8"/>
        <v>1202280</v>
      </c>
      <c r="E62" s="17">
        <f t="shared" si="8"/>
        <v>1135088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3" t="s">
        <v>55</v>
      </c>
      <c r="C63" s="12">
        <v>-622.0</v>
      </c>
      <c r="D63" s="12">
        <v>923.0</v>
      </c>
      <c r="E63" s="12">
        <v>1409.0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11"/>
      <c r="D64" s="11"/>
      <c r="E64" s="11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9" t="s">
        <v>56</v>
      </c>
      <c r="C65" s="16">
        <f t="shared" ref="C65:E65" si="9">sum(C62:C63)</f>
        <v>1223626</v>
      </c>
      <c r="D65" s="16">
        <f t="shared" si="9"/>
        <v>1203203</v>
      </c>
      <c r="E65" s="16">
        <f t="shared" si="9"/>
        <v>1136497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3">
    <mergeCell ref="A2:B2"/>
    <mergeCell ref="A28:B28"/>
    <mergeCell ref="A57:B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9" max="9" width="20.88"/>
    <col customWidth="1" min="10" max="10" width="17.0"/>
  </cols>
  <sheetData>
    <row r="1">
      <c r="B1" s="18" t="s">
        <v>57</v>
      </c>
      <c r="C1" s="18">
        <v>2025.0</v>
      </c>
      <c r="D1" s="18">
        <v>2024.0</v>
      </c>
      <c r="E1" s="18">
        <v>2023.0</v>
      </c>
    </row>
    <row r="2">
      <c r="A2" s="18" t="s">
        <v>58</v>
      </c>
    </row>
    <row r="3">
      <c r="A3" s="19" t="s">
        <v>59</v>
      </c>
      <c r="B3" s="20" t="s">
        <v>60</v>
      </c>
      <c r="I3" s="18"/>
      <c r="J3" s="18"/>
      <c r="K3" s="18"/>
    </row>
    <row r="4">
      <c r="A4" s="19" t="s">
        <v>61</v>
      </c>
      <c r="B4" s="20" t="s">
        <v>62</v>
      </c>
      <c r="D4" s="21"/>
    </row>
    <row r="5">
      <c r="A5" s="19"/>
      <c r="B5" s="20"/>
      <c r="D5" s="21"/>
    </row>
    <row r="6">
      <c r="A6" s="18" t="s">
        <v>63</v>
      </c>
      <c r="I6" s="22"/>
      <c r="J6" s="22"/>
      <c r="K6" s="23"/>
      <c r="L6" s="23"/>
    </row>
    <row r="7">
      <c r="A7" s="19" t="s">
        <v>64</v>
      </c>
      <c r="B7" s="24">
        <v>0.0333</v>
      </c>
      <c r="C7" s="24">
        <v>0.0336</v>
      </c>
      <c r="D7" s="24">
        <v>0.0377</v>
      </c>
      <c r="E7" s="24">
        <v>0.0239</v>
      </c>
    </row>
    <row r="8">
      <c r="A8" s="19" t="s">
        <v>65</v>
      </c>
      <c r="B8" s="24">
        <v>0.0902</v>
      </c>
      <c r="C8" s="24">
        <v>0.0892</v>
      </c>
      <c r="D8" s="24">
        <v>0.1189</v>
      </c>
      <c r="E8" s="24">
        <v>0.0495</v>
      </c>
    </row>
    <row r="9" ht="16.5" customHeight="1">
      <c r="A9" s="19" t="s">
        <v>66</v>
      </c>
      <c r="B9" s="24">
        <v>0.0382</v>
      </c>
      <c r="C9" s="24">
        <v>0.0389</v>
      </c>
      <c r="D9" s="24">
        <v>0.0513</v>
      </c>
      <c r="E9" s="24">
        <v>0.1085</v>
      </c>
    </row>
    <row r="10">
      <c r="A10" s="19"/>
    </row>
    <row r="11">
      <c r="A11" s="18" t="s">
        <v>67</v>
      </c>
    </row>
    <row r="12">
      <c r="A12" s="19" t="s">
        <v>68</v>
      </c>
      <c r="B12" s="19">
        <v>0.67</v>
      </c>
      <c r="C12" s="19">
        <v>0.67</v>
      </c>
      <c r="D12" s="19">
        <v>0.63</v>
      </c>
      <c r="E12" s="19">
        <v>0.56</v>
      </c>
    </row>
    <row r="13">
      <c r="A13" s="19" t="s">
        <v>69</v>
      </c>
      <c r="B13" s="19"/>
      <c r="C13" s="19">
        <v>57.65</v>
      </c>
      <c r="D13" s="19">
        <v>70.92</v>
      </c>
      <c r="E13" s="19">
        <v>120.29</v>
      </c>
    </row>
    <row r="14">
      <c r="A14" s="19" t="s">
        <v>70</v>
      </c>
      <c r="B14" s="19"/>
      <c r="C14" s="19">
        <v>3.1</v>
      </c>
      <c r="D14" s="19">
        <v>3.15</v>
      </c>
      <c r="E14" s="19">
        <v>2.73</v>
      </c>
    </row>
    <row r="15">
      <c r="A15" s="18"/>
    </row>
    <row r="16">
      <c r="A16" s="18" t="s">
        <v>71</v>
      </c>
    </row>
    <row r="17">
      <c r="A17" s="19" t="s">
        <v>72</v>
      </c>
      <c r="B17" s="19">
        <v>1.07</v>
      </c>
      <c r="C17" s="25">
        <v>1.029</v>
      </c>
      <c r="D17" s="25">
        <v>1.081</v>
      </c>
      <c r="E17" s="25">
        <v>1.337</v>
      </c>
    </row>
    <row r="18">
      <c r="A18" s="19" t="s">
        <v>73</v>
      </c>
      <c r="B18" s="19">
        <v>0.91</v>
      </c>
      <c r="C18" s="19">
        <v>0.88</v>
      </c>
      <c r="D18" s="19">
        <v>0.85</v>
      </c>
      <c r="E18" s="19">
        <v>1.08</v>
      </c>
    </row>
    <row r="19">
      <c r="A19" s="19"/>
    </row>
    <row r="20">
      <c r="A20" s="18" t="s">
        <v>74</v>
      </c>
    </row>
    <row r="21">
      <c r="A21" s="19" t="s">
        <v>75</v>
      </c>
      <c r="B21" s="24">
        <v>1.0865</v>
      </c>
      <c r="C21" s="19">
        <v>0.73</v>
      </c>
      <c r="D21" s="19">
        <v>0.84</v>
      </c>
      <c r="E21" s="19">
        <v>1.22</v>
      </c>
    </row>
    <row r="22">
      <c r="A22" s="19"/>
      <c r="B22" s="24"/>
    </row>
    <row r="23">
      <c r="A23" s="19" t="s">
        <v>76</v>
      </c>
      <c r="B23" s="19">
        <v>23.03</v>
      </c>
    </row>
    <row r="24">
      <c r="A24" s="19" t="s">
        <v>77</v>
      </c>
      <c r="B24" s="19">
        <v>9.29</v>
      </c>
    </row>
    <row r="26">
      <c r="A26" s="19" t="s">
        <v>78</v>
      </c>
      <c r="B26" s="19">
        <v>7.06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6.5"/>
    <col customWidth="1" min="7" max="7" width="20.88"/>
    <col customWidth="1" min="8" max="8" width="16.5"/>
    <col customWidth="1" min="9" max="9" width="13.75"/>
    <col customWidth="1" min="11" max="11" width="4.75"/>
    <col customWidth="1" min="12" max="12" width="25.88"/>
    <col customWidth="1" min="13" max="13" width="21.5"/>
    <col customWidth="1" min="14" max="14" width="29.13"/>
  </cols>
  <sheetData>
    <row r="18">
      <c r="A18" s="26" t="s">
        <v>79</v>
      </c>
      <c r="B18" s="23" t="s">
        <v>80</v>
      </c>
      <c r="C18" s="23" t="s">
        <v>81</v>
      </c>
      <c r="D18" s="19" t="s">
        <v>82</v>
      </c>
      <c r="F18" s="26" t="s">
        <v>79</v>
      </c>
      <c r="G18" s="22" t="s">
        <v>83</v>
      </c>
      <c r="H18" s="22" t="s">
        <v>84</v>
      </c>
      <c r="I18" s="19" t="s">
        <v>82</v>
      </c>
      <c r="K18" s="26" t="s">
        <v>79</v>
      </c>
      <c r="L18" s="22" t="s">
        <v>85</v>
      </c>
      <c r="M18" s="22" t="s">
        <v>86</v>
      </c>
      <c r="N18" s="19" t="s">
        <v>87</v>
      </c>
    </row>
    <row r="19">
      <c r="A19" s="23">
        <v>2025.0</v>
      </c>
      <c r="B19" s="27">
        <v>1.029</v>
      </c>
      <c r="C19" s="23">
        <v>1.11</v>
      </c>
      <c r="D19" s="19">
        <v>1.2</v>
      </c>
      <c r="F19" s="23">
        <v>2025.0</v>
      </c>
      <c r="G19" s="22">
        <v>0.88</v>
      </c>
      <c r="H19" s="22">
        <v>1.74</v>
      </c>
      <c r="I19" s="19">
        <v>1.11</v>
      </c>
      <c r="K19" s="23">
        <v>2025.0</v>
      </c>
      <c r="L19" s="22">
        <v>0.73</v>
      </c>
      <c r="M19" s="22">
        <v>0.02</v>
      </c>
      <c r="N19" s="19">
        <v>0.03</v>
      </c>
    </row>
    <row r="20">
      <c r="A20" s="23">
        <v>2024.0</v>
      </c>
      <c r="B20" s="27">
        <v>1.081</v>
      </c>
      <c r="C20" s="23">
        <v>1.42</v>
      </c>
      <c r="D20" s="19">
        <v>1.11</v>
      </c>
      <c r="F20" s="23">
        <v>2024.0</v>
      </c>
      <c r="G20" s="22">
        <v>0.85</v>
      </c>
      <c r="H20" s="22">
        <v>1.34</v>
      </c>
      <c r="I20" s="19">
        <v>1.08</v>
      </c>
      <c r="K20" s="23">
        <v>2024.0</v>
      </c>
      <c r="L20" s="22">
        <v>0.84</v>
      </c>
      <c r="M20" s="22">
        <v>0.04</v>
      </c>
      <c r="N20" s="19">
        <v>0.07</v>
      </c>
    </row>
    <row r="21">
      <c r="A21" s="23">
        <v>2023.0</v>
      </c>
      <c r="B21" s="27">
        <v>1.337</v>
      </c>
      <c r="C21" s="23">
        <v>1.44</v>
      </c>
      <c r="D21" s="19">
        <v>1.35</v>
      </c>
      <c r="F21" s="23">
        <v>2023.0</v>
      </c>
      <c r="G21" s="22">
        <v>1.08</v>
      </c>
      <c r="H21" s="22">
        <v>1.37</v>
      </c>
      <c r="I21" s="19">
        <v>1.31</v>
      </c>
      <c r="K21" s="23">
        <v>2023.0</v>
      </c>
      <c r="L21" s="22">
        <v>1.22</v>
      </c>
      <c r="M21" s="22">
        <v>0.04</v>
      </c>
      <c r="N21" s="19">
        <v>0.07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5" width="16.38"/>
  </cols>
  <sheetData>
    <row r="1">
      <c r="B1" s="18" t="s">
        <v>88</v>
      </c>
    </row>
    <row r="2">
      <c r="B2" s="18" t="s">
        <v>89</v>
      </c>
      <c r="C2" s="18" t="s">
        <v>90</v>
      </c>
      <c r="D2" s="18" t="s">
        <v>91</v>
      </c>
      <c r="E2" s="18" t="s">
        <v>92</v>
      </c>
    </row>
    <row r="3">
      <c r="A3" s="19" t="s">
        <v>59</v>
      </c>
      <c r="B3" s="28">
        <v>2.24E9</v>
      </c>
      <c r="C3" s="28">
        <v>2.28E9</v>
      </c>
      <c r="D3" s="28">
        <v>2.4061E8</v>
      </c>
      <c r="E3" s="28">
        <v>9.3949E8</v>
      </c>
      <c r="F3" s="29"/>
    </row>
    <row r="4">
      <c r="A4" s="19" t="s">
        <v>61</v>
      </c>
      <c r="B4" s="28">
        <v>2.76E9</v>
      </c>
      <c r="C4" s="28">
        <v>2.24E9</v>
      </c>
      <c r="D4" s="28">
        <v>1.5697E8</v>
      </c>
      <c r="E4" s="28">
        <v>6.7119E8</v>
      </c>
      <c r="F4" s="29"/>
    </row>
    <row r="5">
      <c r="A5" s="19" t="s">
        <v>93</v>
      </c>
      <c r="B5" s="28">
        <v>2.86E9</v>
      </c>
      <c r="C5" s="28">
        <v>6.8849E8</v>
      </c>
      <c r="D5" s="28">
        <v>1.9644E8</v>
      </c>
      <c r="E5" s="28">
        <v>3.626E8</v>
      </c>
      <c r="F5" s="29"/>
    </row>
    <row r="6">
      <c r="A6" s="19" t="s">
        <v>12</v>
      </c>
      <c r="B6" s="28">
        <v>2.5909E8</v>
      </c>
      <c r="C6" s="28">
        <v>9.286E7</v>
      </c>
      <c r="D6" s="28">
        <v>3.568E7</v>
      </c>
      <c r="E6" s="28">
        <v>9.98E7</v>
      </c>
      <c r="F6" s="29"/>
    </row>
    <row r="7">
      <c r="A7" s="19" t="s">
        <v>94</v>
      </c>
      <c r="B7" s="28">
        <v>1.0948E8</v>
      </c>
      <c r="C7" s="28">
        <v>6.35E7</v>
      </c>
      <c r="D7" s="28">
        <v>4.844E7</v>
      </c>
      <c r="E7" s="28">
        <v>500000.0</v>
      </c>
    </row>
    <row r="8">
      <c r="B8" s="30"/>
      <c r="C8" s="30"/>
      <c r="D8" s="30"/>
      <c r="E8" s="30"/>
    </row>
    <row r="9">
      <c r="B9" s="30"/>
      <c r="C9" s="30"/>
      <c r="D9" s="30"/>
      <c r="E9" s="30"/>
    </row>
    <row r="10">
      <c r="A10" s="19" t="s">
        <v>95</v>
      </c>
      <c r="B10" s="30"/>
      <c r="C10" s="30">
        <f t="shared" ref="C10:E10" si="1">C3/C7</f>
        <v>35.90551181</v>
      </c>
      <c r="D10" s="30">
        <f t="shared" si="1"/>
        <v>4.967175888</v>
      </c>
      <c r="E10" s="30">
        <f t="shared" si="1"/>
        <v>1878.98</v>
      </c>
    </row>
    <row r="11">
      <c r="A11" s="19" t="s">
        <v>96</v>
      </c>
      <c r="B11" s="30"/>
      <c r="C11" s="30">
        <f t="shared" ref="C11:E11" si="2">C3/C5</f>
        <v>3.31159494</v>
      </c>
      <c r="D11" s="30">
        <f t="shared" si="2"/>
        <v>1.224852372</v>
      </c>
      <c r="E11" s="30">
        <f t="shared" si="2"/>
        <v>2.590981798</v>
      </c>
    </row>
    <row r="12">
      <c r="A12" s="19"/>
      <c r="B12" s="30"/>
      <c r="C12" s="31"/>
      <c r="D12" s="31"/>
      <c r="E12" s="31"/>
    </row>
    <row r="13">
      <c r="A13" s="19" t="s">
        <v>97</v>
      </c>
      <c r="B13" s="30"/>
      <c r="C13" s="31"/>
      <c r="D13" s="31"/>
      <c r="E13" s="31"/>
    </row>
    <row r="14">
      <c r="A14" s="19" t="s">
        <v>98</v>
      </c>
      <c r="B14" s="30"/>
      <c r="C14" s="31">
        <f t="shared" ref="C14:E14" si="3">C10*$B$7</f>
        <v>3930935433</v>
      </c>
      <c r="D14" s="31">
        <f t="shared" si="3"/>
        <v>543806416.2</v>
      </c>
      <c r="E14" s="31">
        <f t="shared" si="3"/>
        <v>205710730400</v>
      </c>
    </row>
    <row r="15">
      <c r="A15" s="19" t="s">
        <v>99</v>
      </c>
      <c r="B15" s="30"/>
      <c r="C15" s="31">
        <f t="shared" ref="C15:E15" si="4">C11*$B$5</f>
        <v>9471161527</v>
      </c>
      <c r="D15" s="31">
        <f t="shared" si="4"/>
        <v>3503077785</v>
      </c>
      <c r="E15" s="31">
        <f t="shared" si="4"/>
        <v>7410207943</v>
      </c>
    </row>
    <row r="16">
      <c r="B16" s="30"/>
      <c r="C16" s="30"/>
      <c r="D16" s="30"/>
      <c r="E16" s="30"/>
    </row>
    <row r="17">
      <c r="A17" s="32" t="s">
        <v>100</v>
      </c>
    </row>
    <row r="18">
      <c r="A18" s="19" t="s">
        <v>59</v>
      </c>
      <c r="B18" s="30">
        <f t="shared" ref="B18:E18" si="5">B3/1000000</f>
        <v>2240</v>
      </c>
      <c r="C18" s="30">
        <f t="shared" si="5"/>
        <v>2280</v>
      </c>
      <c r="D18" s="30">
        <f t="shared" si="5"/>
        <v>240.61</v>
      </c>
      <c r="E18" s="30">
        <f t="shared" si="5"/>
        <v>939.49</v>
      </c>
    </row>
    <row r="19">
      <c r="A19" s="19" t="s">
        <v>93</v>
      </c>
      <c r="B19" s="30">
        <f t="shared" ref="B19:E19" si="6">B5/1000000</f>
        <v>2860</v>
      </c>
      <c r="C19" s="30">
        <f t="shared" si="6"/>
        <v>688.49</v>
      </c>
      <c r="D19" s="30">
        <f t="shared" si="6"/>
        <v>196.44</v>
      </c>
      <c r="E19" s="30">
        <f t="shared" si="6"/>
        <v>362.6</v>
      </c>
    </row>
    <row r="20">
      <c r="B20" s="30"/>
      <c r="C20" s="30"/>
      <c r="D20" s="30"/>
      <c r="E20" s="30"/>
    </row>
    <row r="21">
      <c r="A21" s="19" t="s">
        <v>101</v>
      </c>
      <c r="B21" s="30"/>
      <c r="C21" s="30">
        <f t="shared" ref="C21:E21" si="7">C10</f>
        <v>35.90551181</v>
      </c>
      <c r="D21" s="30">
        <f t="shared" si="7"/>
        <v>4.967175888</v>
      </c>
      <c r="E21" s="30">
        <f t="shared" si="7"/>
        <v>1878.98</v>
      </c>
    </row>
    <row r="22">
      <c r="A22" s="19" t="s">
        <v>96</v>
      </c>
      <c r="B22" s="30"/>
      <c r="C22" s="30">
        <f t="shared" ref="C22:E22" si="8">C11</f>
        <v>3.31159494</v>
      </c>
      <c r="D22" s="30">
        <f t="shared" si="8"/>
        <v>1.224852372</v>
      </c>
      <c r="E22" s="30">
        <f t="shared" si="8"/>
        <v>2.590981798</v>
      </c>
    </row>
    <row r="23">
      <c r="A23" s="19"/>
      <c r="B23" s="30"/>
      <c r="C23" s="31" t="str">
        <f t="shared" ref="C23:E23" si="9">C12</f>
        <v/>
      </c>
      <c r="D23" s="31" t="str">
        <f t="shared" si="9"/>
        <v/>
      </c>
      <c r="E23" s="31" t="str">
        <f t="shared" si="9"/>
        <v/>
      </c>
    </row>
    <row r="24">
      <c r="A24" s="19" t="s">
        <v>97</v>
      </c>
      <c r="B24" s="30"/>
      <c r="C24" s="30"/>
      <c r="D24" s="30"/>
      <c r="E24" s="30"/>
    </row>
    <row r="25">
      <c r="A25" s="19" t="s">
        <v>102</v>
      </c>
      <c r="B25" s="30"/>
      <c r="C25" s="30">
        <f t="shared" ref="C25:E25" si="10">C14/1000000</f>
        <v>3930.935433</v>
      </c>
      <c r="D25" s="30">
        <f t="shared" si="10"/>
        <v>543.8064162</v>
      </c>
      <c r="E25" s="30">
        <f t="shared" si="10"/>
        <v>205710.7304</v>
      </c>
    </row>
    <row r="26">
      <c r="A26" s="19" t="s">
        <v>99</v>
      </c>
      <c r="B26" s="30"/>
      <c r="C26" s="30">
        <f t="shared" ref="C26:E26" si="11">C15/1000000</f>
        <v>9471.161527</v>
      </c>
      <c r="D26" s="30">
        <f t="shared" si="11"/>
        <v>3503.077785</v>
      </c>
      <c r="E26" s="30">
        <f t="shared" si="11"/>
        <v>7410.207943</v>
      </c>
    </row>
    <row r="27">
      <c r="B27" s="30"/>
      <c r="C27" s="30"/>
      <c r="D27" s="30"/>
      <c r="E27" s="30"/>
    </row>
    <row r="28">
      <c r="B28" s="30"/>
      <c r="C28" s="30"/>
      <c r="D28" s="30"/>
      <c r="E28" s="30"/>
    </row>
    <row r="29">
      <c r="A29" s="19" t="s">
        <v>103</v>
      </c>
      <c r="B29" s="30"/>
      <c r="C29" s="30">
        <f t="shared" ref="C29:E29" si="12">C4/C6</f>
        <v>24.1223347</v>
      </c>
      <c r="D29" s="30">
        <f t="shared" si="12"/>
        <v>4.399383408</v>
      </c>
      <c r="E29" s="30">
        <f t="shared" si="12"/>
        <v>6.725350701</v>
      </c>
    </row>
    <row r="30">
      <c r="B30" s="30"/>
      <c r="C30" s="30"/>
      <c r="D30" s="30"/>
      <c r="E30" s="30"/>
    </row>
    <row r="31">
      <c r="A31" s="19" t="s">
        <v>104</v>
      </c>
      <c r="B31" s="30"/>
      <c r="C31" s="31">
        <f t="shared" ref="C31:E31" si="13">C29*$B$6</f>
        <v>6249855697</v>
      </c>
      <c r="D31" s="31">
        <f t="shared" si="13"/>
        <v>1139836247</v>
      </c>
      <c r="E31" s="31">
        <f t="shared" si="13"/>
        <v>1742471113</v>
      </c>
    </row>
    <row r="32">
      <c r="B32" s="30"/>
      <c r="C32" s="30"/>
      <c r="D32" s="30"/>
      <c r="E32" s="30"/>
    </row>
    <row r="33">
      <c r="B33" s="30"/>
      <c r="C33" s="30"/>
      <c r="D33" s="30"/>
      <c r="E33" s="30"/>
    </row>
    <row r="34">
      <c r="A34" s="19" t="s">
        <v>59</v>
      </c>
      <c r="B34" s="30">
        <f t="shared" ref="B34:E34" si="14">B3/1000000</f>
        <v>2240</v>
      </c>
      <c r="C34" s="30">
        <f t="shared" si="14"/>
        <v>2280</v>
      </c>
      <c r="D34" s="30">
        <f t="shared" si="14"/>
        <v>240.61</v>
      </c>
      <c r="E34" s="30">
        <f t="shared" si="14"/>
        <v>939.49</v>
      </c>
    </row>
    <row r="35">
      <c r="A35" s="19" t="s">
        <v>61</v>
      </c>
      <c r="B35" s="30">
        <f t="shared" ref="B35:E35" si="15">B4/1000000</f>
        <v>2760</v>
      </c>
      <c r="C35" s="30">
        <f t="shared" si="15"/>
        <v>2240</v>
      </c>
      <c r="D35" s="30">
        <f t="shared" si="15"/>
        <v>156.97</v>
      </c>
      <c r="E35" s="30">
        <f t="shared" si="15"/>
        <v>671.19</v>
      </c>
    </row>
    <row r="36">
      <c r="A36" s="19" t="s">
        <v>93</v>
      </c>
      <c r="B36" s="30">
        <f t="shared" ref="B36:E36" si="16">B5/1000000</f>
        <v>2860</v>
      </c>
      <c r="C36" s="30">
        <f t="shared" si="16"/>
        <v>688.49</v>
      </c>
      <c r="D36" s="30">
        <f t="shared" si="16"/>
        <v>196.44</v>
      </c>
      <c r="E36" s="30">
        <f t="shared" si="16"/>
        <v>362.6</v>
      </c>
    </row>
    <row r="37">
      <c r="A37" s="19" t="s">
        <v>12</v>
      </c>
      <c r="B37" s="30">
        <f t="shared" ref="B37:E37" si="17">B6/1000000</f>
        <v>259.09</v>
      </c>
      <c r="C37" s="30">
        <f t="shared" si="17"/>
        <v>92.86</v>
      </c>
      <c r="D37" s="30">
        <f t="shared" si="17"/>
        <v>35.68</v>
      </c>
      <c r="E37" s="30">
        <f t="shared" si="17"/>
        <v>99.8</v>
      </c>
    </row>
    <row r="38">
      <c r="A38" s="19" t="s">
        <v>94</v>
      </c>
      <c r="B38" s="30">
        <f t="shared" ref="B38:E38" si="18">B7/1000000</f>
        <v>109.48</v>
      </c>
      <c r="C38" s="30">
        <f t="shared" si="18"/>
        <v>63.5</v>
      </c>
      <c r="D38" s="30">
        <f t="shared" si="18"/>
        <v>48.44</v>
      </c>
      <c r="E38" s="30">
        <f t="shared" si="18"/>
        <v>0.5</v>
      </c>
    </row>
    <row r="39">
      <c r="B39" s="30"/>
      <c r="C39" s="30"/>
      <c r="D39" s="30"/>
      <c r="E39" s="30"/>
    </row>
    <row r="40">
      <c r="A40" s="19" t="s">
        <v>104</v>
      </c>
      <c r="B40" s="30"/>
      <c r="C40" s="30">
        <f t="shared" ref="C40:E40" si="19">C31/1000000</f>
        <v>6249.855697</v>
      </c>
      <c r="D40" s="30">
        <f t="shared" si="19"/>
        <v>1139.836247</v>
      </c>
      <c r="E40" s="30">
        <f t="shared" si="19"/>
        <v>1742.471113</v>
      </c>
    </row>
  </sheetData>
  <mergeCells count="1">
    <mergeCell ref="A17:E17"/>
  </mergeCells>
  <drawing r:id="rId1"/>
</worksheet>
</file>