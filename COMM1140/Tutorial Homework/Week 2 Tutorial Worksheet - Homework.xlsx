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oblem 1" sheetId="1" state="visible" r:id="rId3"/>
    <sheet name="Problem 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<sst xmlns="http://schemas.openxmlformats.org/spreadsheetml/2006/main" count="145" uniqueCount="68">
  <si>
    <t xml:space="preserve">Account Type</t>
  </si>
  <si>
    <t xml:space="preserve">Asset</t>
  </si>
  <si>
    <t xml:space="preserve">Statement</t>
  </si>
  <si>
    <t xml:space="preserve">Income statement</t>
  </si>
  <si>
    <t xml:space="preserve">Liability</t>
  </si>
  <si>
    <t xml:space="preserve">Balance sheet</t>
  </si>
  <si>
    <t xml:space="preserve">Equity</t>
  </si>
  <si>
    <t xml:space="preserve">Revenue </t>
  </si>
  <si>
    <t xml:space="preserve">Expense</t>
  </si>
  <si>
    <t xml:space="preserve">Select the account type and statement by clicking on the dropdown box:</t>
  </si>
  <si>
    <t xml:space="preserve">Items</t>
  </si>
  <si>
    <t xml:space="preserve">Something the business owns</t>
  </si>
  <si>
    <t xml:space="preserve">Accounts payable</t>
  </si>
  <si>
    <t xml:space="preserve">Something the business owes</t>
  </si>
  <si>
    <t xml:space="preserve">Accounts receivable</t>
  </si>
  <si>
    <t xml:space="preserve">The net worth of the business, the owner’s stake</t>
  </si>
  <si>
    <t xml:space="preserve">Administration expenses</t>
  </si>
  <si>
    <t xml:space="preserve">Revenue</t>
  </si>
  <si>
    <t xml:space="preserve">What a business earns from the sale of goods or services</t>
  </si>
  <si>
    <t xml:space="preserve">Borrowings </t>
  </si>
  <si>
    <t xml:space="preserve">Costs incurred to generate revenue, maintain daily operations</t>
  </si>
  <si>
    <t xml:space="preserve">Cash</t>
  </si>
  <si>
    <t xml:space="preserve">Cost of goods sold</t>
  </si>
  <si>
    <t xml:space="preserve">Current tax payable</t>
  </si>
  <si>
    <t xml:space="preserve">Income tax expense</t>
  </si>
  <si>
    <t xml:space="preserve">Interest expense</t>
  </si>
  <si>
    <t xml:space="preserve">Inventories</t>
  </si>
  <si>
    <t xml:space="preserve">Occupancy expenses</t>
  </si>
  <si>
    <t xml:space="preserve">Plant and equipment </t>
  </si>
  <si>
    <t xml:space="preserve">Retained earnings </t>
  </si>
  <si>
    <t xml:space="preserve">Sales and marketing expenses</t>
  </si>
  <si>
    <t xml:space="preserve">Sales revenue</t>
  </si>
  <si>
    <t xml:space="preserve">Share capital</t>
  </si>
  <si>
    <t xml:space="preserve">Wages payable</t>
  </si>
  <si>
    <t xml:space="preserve">Wages paid</t>
  </si>
  <si>
    <t xml:space="preserve">The following account balances are taken from the books of JB Hi-Fi on 30 June 2022. Revenues and expenses are for the year ended 30 June 2022. All figures are in millions of Australian Dollar. </t>
  </si>
  <si>
    <t xml:space="preserve">Borrowings (payable on 1/6/2025)</t>
  </si>
  <si>
    <t xml:space="preserve">Dividends (declared and paid during the year)</t>
  </si>
  <si>
    <t xml:space="preserve">Retained profits (1/7/2021)</t>
  </si>
  <si>
    <t xml:space="preserve">Part a. Prepare an income statement for JB Hi-Fi for the year ended 30 June 2022.</t>
  </si>
  <si>
    <t xml:space="preserve">JB Hi-Fi</t>
  </si>
  <si>
    <t xml:space="preserve">Income statement for the year ended 30 June 2022</t>
  </si>
  <si>
    <t xml:space="preserve">$ million</t>
  </si>
  <si>
    <t xml:space="preserve">Gross Profit</t>
  </si>
  <si>
    <t xml:space="preserve">Profit before tax</t>
  </si>
  <si>
    <t xml:space="preserve">Net Profit</t>
  </si>
  <si>
    <t xml:space="preserve">Part b. Calculate the balance of retained profits at 30 June 2022. </t>
  </si>
  <si>
    <t xml:space="preserve">Opening balance of Retained Profits (1/7/2021)</t>
  </si>
  <si>
    <t xml:space="preserve">Add net profit</t>
  </si>
  <si>
    <t xml:space="preserve">Less dividends</t>
  </si>
  <si>
    <t xml:space="preserve">= Closing balance of Retained Profits (30/6/2022)</t>
  </si>
  <si>
    <t xml:space="preserve">Part c. Prepare a balance sheet as at 30 June 2022. </t>
  </si>
  <si>
    <t xml:space="preserve">Balance sheet as at 30 June 2022</t>
  </si>
  <si>
    <t xml:space="preserve">ASSETS</t>
  </si>
  <si>
    <t xml:space="preserve">Current assets</t>
  </si>
  <si>
    <t xml:space="preserve">Total current assets</t>
  </si>
  <si>
    <t xml:space="preserve">Non-current assets</t>
  </si>
  <si>
    <t xml:space="preserve">Total non-current assets</t>
  </si>
  <si>
    <t xml:space="preserve">Total Assets</t>
  </si>
  <si>
    <t xml:space="preserve">LIABILITIES</t>
  </si>
  <si>
    <t xml:space="preserve">Current liabilities</t>
  </si>
  <si>
    <t xml:space="preserve">Total current liabilities</t>
  </si>
  <si>
    <t xml:space="preserve">Non-current liabilities</t>
  </si>
  <si>
    <t xml:space="preserve">Total non-current liabilities</t>
  </si>
  <si>
    <t xml:space="preserve">Total Liabilities</t>
  </si>
  <si>
    <t xml:space="preserve">EQUITY</t>
  </si>
  <si>
    <t xml:space="preserve">Total Equity</t>
  </si>
  <si>
    <t xml:space="preserve">Total Liabilities &amp; Equity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</si>
</sst>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.00_);_(* \(#,##0.00\);_(* \-??_);_(@_)"/>
    <numFmt numFmtId="166" formatCode="_(* #,##0_);_(* \(#,##0\);_(* \-??_);_(@_)"/>
  </numFmts>
  <fonts count="9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b val="true"/>
      <i val="true"/>
      <sz val="12"/>
      <color theme="1"/>
      <name val="Calibri"/>
      <family val="2"/>
      <charset val="1"/>
    </font>
    <font>
      <b val="true"/>
      <i val="true"/>
      <sz val="12"/>
      <color rgb="FF7030A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15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0" fillId="0" borderId="5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0" xfId="15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5" fillId="0" borderId="5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5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5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ustomXml" Target="../customXml/item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175320</xdr:colOff>
      <xdr:row>14</xdr:row>
      <xdr:rowOff>91800</xdr:rowOff>
    </xdr:from>
    <xdr:to>
      <xdr:col>5</xdr:col>
      <xdr:colOff>4298040</xdr:colOff>
      <xdr:row>37</xdr:row>
      <xdr:rowOff>119880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6099120" y="2892240"/>
          <a:ext cx="5568840" cy="4628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42" zoomScaleNormal="142" zoomScalePageLayoutView="100" workbookViewId="0">
      <selection pane="topLeft" activeCell="B33" activeCellId="0" sqref="B33"/>
    </sheetView>
  </sheetViews>
  <sheetFormatPr defaultColWidth="10.8828125" defaultRowHeight="15.75" customHeight="false" zeroHeight="false" outlineLevelRow="0" outlineLevelCol="0"/>
  <cols>
    <col collapsed="false" customWidth="true" hidden="false" outlineLevel="0" max="1" min="1" style="1" width="27.63"/>
    <col collapsed="false" customWidth="true" hidden="false" outlineLevel="0" max="2" min="2" style="1" width="14"/>
    <col collapsed="false" customWidth="true" hidden="false" outlineLevel="0" max="3" min="3" style="1" width="17.63"/>
    <col collapsed="false" customWidth="false" hidden="false" outlineLevel="0" max="4" min="4" style="1" width="10.88"/>
    <col collapsed="false" customWidth="true" hidden="false" outlineLevel="0" max="5" min="5" style="1" width="17.12"/>
    <col collapsed="false" customWidth="true" hidden="false" outlineLevel="0" max="6" min="6" style="1" width="59.22"/>
    <col collapsed="false" customWidth="false" hidden="false" outlineLevel="0" max="16384" min="7" style="1" width="10.88"/>
  </cols>
  <sheetData>
    <row r="1" customFormat="false" ht="15.75" hidden="false" customHeight="false" outlineLevel="0" collapsed="false">
      <c r="A1" s="2" t="s">
        <v>0</v>
      </c>
      <c r="B1" s="3" t="s">
        <v>1</v>
      </c>
      <c r="D1" s="2" t="s">
        <v>2</v>
      </c>
      <c r="E1" s="3" t="s">
        <v>3</v>
      </c>
    </row>
    <row r="2" customFormat="false" ht="15.75" hidden="false" customHeight="false" outlineLevel="0" collapsed="false">
      <c r="A2" s="2"/>
      <c r="B2" s="4" t="s">
        <v>4</v>
      </c>
      <c r="D2" s="2"/>
      <c r="E2" s="5" t="s">
        <v>5</v>
      </c>
    </row>
    <row r="3" customFormat="false" ht="15.75" hidden="false" customHeight="false" outlineLevel="0" collapsed="false">
      <c r="A3" s="2"/>
      <c r="B3" s="4" t="s">
        <v>6</v>
      </c>
    </row>
    <row r="4" customFormat="false" ht="15.75" hidden="false" customHeight="false" outlineLevel="0" collapsed="false">
      <c r="A4" s="2"/>
      <c r="B4" s="4" t="s">
        <v>7</v>
      </c>
    </row>
    <row r="5" customFormat="false" ht="15.75" hidden="false" customHeight="false" outlineLevel="0" collapsed="false">
      <c r="A5" s="2"/>
      <c r="B5" s="5" t="s">
        <v>8</v>
      </c>
    </row>
    <row r="7" customFormat="false" ht="15.75" hidden="false" customHeight="false" outlineLevel="0" collapsed="false">
      <c r="A7" s="6" t="s">
        <v>9</v>
      </c>
    </row>
    <row r="9" customFormat="false" ht="15.75" hidden="false" customHeight="false" outlineLevel="0" collapsed="false">
      <c r="A9" s="7" t="s">
        <v>10</v>
      </c>
      <c r="B9" s="7" t="s">
        <v>0</v>
      </c>
      <c r="C9" s="7" t="s">
        <v>2</v>
      </c>
      <c r="E9" s="8" t="s">
        <v>1</v>
      </c>
      <c r="F9" s="9" t="s">
        <v>11</v>
      </c>
    </row>
    <row r="10" customFormat="false" ht="15.75" hidden="false" customHeight="false" outlineLevel="0" collapsed="false">
      <c r="A10" s="10" t="s">
        <v>12</v>
      </c>
      <c r="B10" s="11" t="s">
        <v>4</v>
      </c>
      <c r="C10" s="11" t="s">
        <v>5</v>
      </c>
      <c r="E10" s="12" t="s">
        <v>4</v>
      </c>
      <c r="F10" s="13" t="s">
        <v>13</v>
      </c>
    </row>
    <row r="11" customFormat="false" ht="15.75" hidden="false" customHeight="false" outlineLevel="0" collapsed="false">
      <c r="A11" s="10" t="s">
        <v>14</v>
      </c>
      <c r="B11" s="11" t="s">
        <v>1</v>
      </c>
      <c r="C11" s="11" t="s">
        <v>5</v>
      </c>
      <c r="E11" s="12" t="s">
        <v>6</v>
      </c>
      <c r="F11" s="13" t="s">
        <v>15</v>
      </c>
    </row>
    <row r="12" customFormat="false" ht="15.75" hidden="false" customHeight="false" outlineLevel="0" collapsed="false">
      <c r="A12" s="10" t="s">
        <v>16</v>
      </c>
      <c r="B12" s="11" t="s">
        <v>8</v>
      </c>
      <c r="C12" s="11" t="s">
        <v>3</v>
      </c>
      <c r="E12" s="12" t="s">
        <v>17</v>
      </c>
      <c r="F12" s="13" t="s">
        <v>18</v>
      </c>
    </row>
    <row r="13" customFormat="false" ht="15.75" hidden="false" customHeight="false" outlineLevel="0" collapsed="false">
      <c r="A13" s="10" t="s">
        <v>19</v>
      </c>
      <c r="B13" s="11" t="s">
        <v>4</v>
      </c>
      <c r="C13" s="11" t="s">
        <v>5</v>
      </c>
      <c r="E13" s="14" t="s">
        <v>8</v>
      </c>
      <c r="F13" s="15" t="s">
        <v>20</v>
      </c>
    </row>
    <row r="14" customFormat="false" ht="15.75" hidden="false" customHeight="false" outlineLevel="0" collapsed="false">
      <c r="A14" s="10" t="s">
        <v>21</v>
      </c>
      <c r="B14" s="11" t="s">
        <v>1</v>
      </c>
      <c r="C14" s="11" t="s">
        <v>5</v>
      </c>
    </row>
    <row r="15" customFormat="false" ht="15.75" hidden="false" customHeight="false" outlineLevel="0" collapsed="false">
      <c r="A15" s="10" t="s">
        <v>22</v>
      </c>
      <c r="B15" s="11" t="s">
        <v>8</v>
      </c>
      <c r="C15" s="11" t="s">
        <v>3</v>
      </c>
    </row>
    <row r="16" customFormat="false" ht="15.75" hidden="false" customHeight="false" outlineLevel="0" collapsed="false">
      <c r="A16" s="10" t="s">
        <v>23</v>
      </c>
      <c r="B16" s="11" t="s">
        <v>4</v>
      </c>
      <c r="C16" s="11" t="s">
        <v>5</v>
      </c>
    </row>
    <row r="17" customFormat="false" ht="15.75" hidden="false" customHeight="false" outlineLevel="0" collapsed="false">
      <c r="A17" s="10" t="s">
        <v>24</v>
      </c>
      <c r="B17" s="11" t="s">
        <v>8</v>
      </c>
      <c r="C17" s="11" t="s">
        <v>3</v>
      </c>
    </row>
    <row r="18" customFormat="false" ht="15.75" hidden="false" customHeight="false" outlineLevel="0" collapsed="false">
      <c r="A18" s="10" t="s">
        <v>25</v>
      </c>
      <c r="B18" s="11" t="s">
        <v>8</v>
      </c>
      <c r="C18" s="11" t="s">
        <v>3</v>
      </c>
    </row>
    <row r="19" customFormat="false" ht="15.75" hidden="false" customHeight="false" outlineLevel="0" collapsed="false">
      <c r="A19" s="10" t="s">
        <v>26</v>
      </c>
      <c r="B19" s="11" t="s">
        <v>1</v>
      </c>
      <c r="C19" s="11" t="s">
        <v>5</v>
      </c>
    </row>
    <row r="20" customFormat="false" ht="15.75" hidden="false" customHeight="false" outlineLevel="0" collapsed="false">
      <c r="A20" s="10" t="s">
        <v>27</v>
      </c>
      <c r="B20" s="11" t="s">
        <v>8</v>
      </c>
      <c r="C20" s="11" t="s">
        <v>3</v>
      </c>
    </row>
    <row r="21" customFormat="false" ht="15.75" hidden="false" customHeight="false" outlineLevel="0" collapsed="false">
      <c r="A21" s="10" t="s">
        <v>28</v>
      </c>
      <c r="B21" s="11" t="s">
        <v>1</v>
      </c>
      <c r="C21" s="11" t="s">
        <v>5</v>
      </c>
    </row>
    <row r="22" customFormat="false" ht="15.75" hidden="false" customHeight="false" outlineLevel="0" collapsed="false">
      <c r="A22" s="10" t="s">
        <v>29</v>
      </c>
      <c r="B22" s="11" t="s">
        <v>6</v>
      </c>
      <c r="C22" s="11" t="s">
        <v>5</v>
      </c>
    </row>
    <row r="23" customFormat="false" ht="15.75" hidden="false" customHeight="false" outlineLevel="0" collapsed="false">
      <c r="A23" s="10" t="s">
        <v>30</v>
      </c>
      <c r="B23" s="11" t="s">
        <v>8</v>
      </c>
      <c r="C23" s="11" t="s">
        <v>3</v>
      </c>
    </row>
    <row r="24" customFormat="false" ht="15.75" hidden="false" customHeight="false" outlineLevel="0" collapsed="false">
      <c r="A24" s="10" t="s">
        <v>31</v>
      </c>
      <c r="B24" s="11" t="s">
        <v>7</v>
      </c>
      <c r="C24" s="11" t="s">
        <v>3</v>
      </c>
    </row>
    <row r="25" customFormat="false" ht="15.75" hidden="false" customHeight="false" outlineLevel="0" collapsed="false">
      <c r="A25" s="10" t="s">
        <v>32</v>
      </c>
      <c r="B25" s="11" t="s">
        <v>6</v>
      </c>
      <c r="C25" s="11" t="s">
        <v>5</v>
      </c>
    </row>
    <row r="26" customFormat="false" ht="15.75" hidden="false" customHeight="false" outlineLevel="0" collapsed="false">
      <c r="A26" s="10" t="s">
        <v>33</v>
      </c>
      <c r="B26" s="11" t="s">
        <v>4</v>
      </c>
      <c r="C26" s="11" t="s">
        <v>5</v>
      </c>
    </row>
    <row r="27" customFormat="false" ht="15.75" hidden="false" customHeight="false" outlineLevel="0" collapsed="false">
      <c r="A27" s="11" t="s">
        <v>34</v>
      </c>
      <c r="B27" s="11" t="s">
        <v>8</v>
      </c>
      <c r="C27" s="11" t="s">
        <v>3</v>
      </c>
    </row>
  </sheetData>
  <mergeCells count="2">
    <mergeCell ref="A1:A5"/>
    <mergeCell ref="D1:D2"/>
  </mergeCells>
  <dataValidations count="2">
    <dataValidation allowBlank="true" errorStyle="stop" operator="between" showDropDown="false" showErrorMessage="true" showInputMessage="true" sqref="C10:C26" type="list">
      <formula1>$E$1:$E$2</formula1>
      <formula2>0</formula2>
    </dataValidation>
    <dataValidation allowBlank="true" errorStyle="stop" operator="between" showDropDown="false" showErrorMessage="true" showInputMessage="true" sqref="B10:B26" type="list">
      <formula1>$B$1:$B$5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5"/>
  <sheetViews>
    <sheetView showFormulas="false" showGridLines="true" showRowColHeaders="true" showZeros="true" rightToLeft="false" tabSelected="true" showOutlineSymbols="true" defaultGridColor="true" view="normal" topLeftCell="A1" colorId="64" zoomScale="142" zoomScaleNormal="142" zoomScalePageLayoutView="100" workbookViewId="0">
      <selection pane="topLeft" activeCell="D75" activeCellId="0" sqref="D75"/>
    </sheetView>
  </sheetViews>
  <sheetFormatPr defaultColWidth="10.8828125" defaultRowHeight="15.75" customHeight="false" zeroHeight="false" outlineLevelRow="0" outlineLevelCol="0"/>
  <cols>
    <col collapsed="false" customWidth="true" hidden="false" outlineLevel="0" max="1" min="1" style="1" width="42.5"/>
    <col collapsed="false" customWidth="true" hidden="false" outlineLevel="0" max="2" min="2" style="1" width="16.88"/>
    <col collapsed="false" customWidth="false" hidden="false" outlineLevel="0" max="16384" min="3" style="1" width="10.88"/>
  </cols>
  <sheetData>
    <row r="1" customFormat="false" ht="15.75" hidden="false" customHeight="true" outlineLevel="0" collapsed="false">
      <c r="A1" s="16" t="s">
        <v>35</v>
      </c>
      <c r="B1" s="16"/>
    </row>
    <row r="2" customFormat="false" ht="45" hidden="false" customHeight="true" outlineLevel="0" collapsed="false">
      <c r="A2" s="16"/>
      <c r="B2" s="16"/>
    </row>
    <row r="4" customFormat="false" ht="15.75" hidden="false" customHeight="false" outlineLevel="0" collapsed="false">
      <c r="A4" s="10" t="s">
        <v>12</v>
      </c>
      <c r="B4" s="17" t="n">
        <v>760</v>
      </c>
    </row>
    <row r="5" customFormat="false" ht="15.75" hidden="false" customHeight="false" outlineLevel="0" collapsed="false">
      <c r="A5" s="10" t="s">
        <v>14</v>
      </c>
      <c r="B5" s="17" t="n">
        <v>150</v>
      </c>
    </row>
    <row r="6" customFormat="false" ht="15.75" hidden="false" customHeight="false" outlineLevel="0" collapsed="false">
      <c r="A6" s="10" t="s">
        <v>16</v>
      </c>
      <c r="B6" s="17" t="n">
        <v>40</v>
      </c>
    </row>
    <row r="7" customFormat="false" ht="15.75" hidden="false" customHeight="false" outlineLevel="0" collapsed="false">
      <c r="A7" s="10" t="s">
        <v>36</v>
      </c>
      <c r="B7" s="17" t="n">
        <v>60</v>
      </c>
    </row>
    <row r="8" customFormat="false" ht="15.75" hidden="false" customHeight="false" outlineLevel="0" collapsed="false">
      <c r="A8" s="10" t="s">
        <v>21</v>
      </c>
      <c r="B8" s="17" t="n">
        <v>400</v>
      </c>
    </row>
    <row r="9" customFormat="false" ht="15.75" hidden="false" customHeight="false" outlineLevel="0" collapsed="false">
      <c r="A9" s="10" t="s">
        <v>22</v>
      </c>
      <c r="B9" s="17" t="n">
        <v>7500</v>
      </c>
    </row>
    <row r="10" customFormat="false" ht="15.75" hidden="false" customHeight="false" outlineLevel="0" collapsed="false">
      <c r="A10" s="10" t="s">
        <v>23</v>
      </c>
      <c r="B10" s="17" t="n">
        <v>70</v>
      </c>
    </row>
    <row r="11" customFormat="false" ht="15.75" hidden="false" customHeight="false" outlineLevel="0" collapsed="false">
      <c r="A11" s="10" t="s">
        <v>37</v>
      </c>
      <c r="B11" s="17" t="n">
        <v>800</v>
      </c>
    </row>
    <row r="12" customFormat="false" ht="15.75" hidden="false" customHeight="false" outlineLevel="0" collapsed="false">
      <c r="A12" s="10" t="s">
        <v>24</v>
      </c>
      <c r="B12" s="17" t="n">
        <v>230</v>
      </c>
    </row>
    <row r="13" customFormat="false" ht="15.75" hidden="false" customHeight="false" outlineLevel="0" collapsed="false">
      <c r="A13" s="10" t="s">
        <v>25</v>
      </c>
      <c r="B13" s="17" t="n">
        <v>20</v>
      </c>
    </row>
    <row r="14" customFormat="false" ht="15.75" hidden="false" customHeight="false" outlineLevel="0" collapsed="false">
      <c r="A14" s="10" t="s">
        <v>26</v>
      </c>
      <c r="B14" s="17" t="n">
        <v>1200</v>
      </c>
    </row>
    <row r="15" customFormat="false" ht="15.75" hidden="false" customHeight="false" outlineLevel="0" collapsed="false">
      <c r="A15" s="10" t="s">
        <v>27</v>
      </c>
      <c r="B15" s="17" t="n">
        <v>300</v>
      </c>
    </row>
    <row r="16" customFormat="false" ht="15.75" hidden="false" customHeight="false" outlineLevel="0" collapsed="false">
      <c r="A16" s="10" t="s">
        <v>28</v>
      </c>
      <c r="B16" s="17" t="n">
        <v>200</v>
      </c>
    </row>
    <row r="17" customFormat="false" ht="15.75" hidden="false" customHeight="false" outlineLevel="0" collapsed="false">
      <c r="A17" s="10" t="s">
        <v>38</v>
      </c>
      <c r="B17" s="17" t="n">
        <v>830</v>
      </c>
    </row>
    <row r="18" customFormat="false" ht="15.75" hidden="false" customHeight="false" outlineLevel="0" collapsed="false">
      <c r="A18" s="10" t="s">
        <v>30</v>
      </c>
      <c r="B18" s="17" t="n">
        <v>880</v>
      </c>
    </row>
    <row r="19" customFormat="false" ht="15.75" hidden="false" customHeight="false" outlineLevel="0" collapsed="false">
      <c r="A19" s="10" t="s">
        <v>31</v>
      </c>
      <c r="B19" s="17" t="n">
        <v>9200</v>
      </c>
    </row>
    <row r="20" customFormat="false" ht="15.75" hidden="false" customHeight="false" outlineLevel="0" collapsed="false">
      <c r="A20" s="10" t="s">
        <v>32</v>
      </c>
      <c r="B20" s="17" t="n">
        <v>690</v>
      </c>
    </row>
    <row r="21" customFormat="false" ht="15.75" hidden="false" customHeight="false" outlineLevel="0" collapsed="false">
      <c r="A21" s="10" t="s">
        <v>33</v>
      </c>
      <c r="B21" s="17" t="n">
        <v>110</v>
      </c>
    </row>
    <row r="23" customFormat="false" ht="31.5" hidden="false" customHeight="true" outlineLevel="0" collapsed="false">
      <c r="A23" s="18" t="s">
        <v>39</v>
      </c>
      <c r="B23" s="18"/>
    </row>
    <row r="24" customFormat="false" ht="31.5" hidden="false" customHeight="true" outlineLevel="0" collapsed="false">
      <c r="A24" s="18"/>
      <c r="B24" s="18"/>
    </row>
    <row r="25" customFormat="false" ht="15.75" hidden="false" customHeight="false" outlineLevel="0" collapsed="false">
      <c r="A25" s="19" t="s">
        <v>40</v>
      </c>
      <c r="B25" s="19"/>
    </row>
    <row r="26" customFormat="false" ht="15.75" hidden="false" customHeight="false" outlineLevel="0" collapsed="false">
      <c r="A26" s="20" t="s">
        <v>41</v>
      </c>
      <c r="B26" s="10"/>
    </row>
    <row r="27" customFormat="false" ht="15.75" hidden="false" customHeight="false" outlineLevel="0" collapsed="false">
      <c r="A27" s="21"/>
      <c r="B27" s="7" t="s">
        <v>42</v>
      </c>
    </row>
    <row r="28" customFormat="false" ht="15.75" hidden="false" customHeight="false" outlineLevel="0" collapsed="false">
      <c r="A28" s="22" t="s">
        <v>31</v>
      </c>
      <c r="B28" s="23" t="n">
        <v>9200</v>
      </c>
    </row>
    <row r="29" customFormat="false" ht="15.75" hidden="false" customHeight="false" outlineLevel="0" collapsed="false">
      <c r="A29" s="22" t="s">
        <v>22</v>
      </c>
      <c r="B29" s="23" t="n">
        <v>7500</v>
      </c>
    </row>
    <row r="30" customFormat="false" ht="15.75" hidden="false" customHeight="false" outlineLevel="0" collapsed="false">
      <c r="A30" s="20" t="s">
        <v>43</v>
      </c>
      <c r="B30" s="7" t="n">
        <f aca="false">B28-B29</f>
        <v>1700</v>
      </c>
    </row>
    <row r="31" customFormat="false" ht="15.75" hidden="false" customHeight="false" outlineLevel="0" collapsed="false">
      <c r="A31" s="22" t="s">
        <v>16</v>
      </c>
      <c r="B31" s="23" t="n">
        <v>40</v>
      </c>
    </row>
    <row r="32" customFormat="false" ht="15.75" hidden="false" customHeight="false" outlineLevel="0" collapsed="false">
      <c r="A32" s="24" t="s">
        <v>27</v>
      </c>
      <c r="B32" s="24" t="n">
        <v>300</v>
      </c>
    </row>
    <row r="33" customFormat="false" ht="15.75" hidden="false" customHeight="false" outlineLevel="0" collapsed="false">
      <c r="A33" s="22" t="s">
        <v>25</v>
      </c>
      <c r="B33" s="23" t="n">
        <v>20</v>
      </c>
    </row>
    <row r="34" customFormat="false" ht="15.75" hidden="false" customHeight="false" outlineLevel="0" collapsed="false">
      <c r="A34" s="25" t="s">
        <v>30</v>
      </c>
      <c r="B34" s="23" t="n">
        <v>880</v>
      </c>
    </row>
    <row r="35" customFormat="false" ht="15.75" hidden="false" customHeight="false" outlineLevel="0" collapsed="false">
      <c r="A35" s="20" t="s">
        <v>44</v>
      </c>
      <c r="B35" s="7" t="n">
        <f aca="false">B30-SUM(B31:B34)</f>
        <v>460</v>
      </c>
    </row>
    <row r="36" customFormat="false" ht="15.75" hidden="false" customHeight="false" outlineLevel="0" collapsed="false">
      <c r="A36" s="22" t="s">
        <v>24</v>
      </c>
      <c r="B36" s="23" t="n">
        <v>230</v>
      </c>
    </row>
    <row r="37" customFormat="false" ht="15.75" hidden="false" customHeight="false" outlineLevel="0" collapsed="false">
      <c r="A37" s="20" t="s">
        <v>45</v>
      </c>
      <c r="B37" s="7" t="n">
        <f aca="false">B35-B36</f>
        <v>230</v>
      </c>
    </row>
    <row r="39" customFormat="false" ht="15.75" hidden="false" customHeight="false" outlineLevel="0" collapsed="false">
      <c r="A39" s="26" t="s">
        <v>46</v>
      </c>
      <c r="B39" s="26"/>
    </row>
    <row r="40" customFormat="false" ht="15.75" hidden="false" customHeight="false" outlineLevel="0" collapsed="false">
      <c r="A40" s="27"/>
      <c r="B40" s="7" t="s">
        <v>42</v>
      </c>
    </row>
    <row r="41" customFormat="false" ht="15.75" hidden="false" customHeight="false" outlineLevel="0" collapsed="false">
      <c r="A41" s="11" t="s">
        <v>47</v>
      </c>
      <c r="B41" s="11" t="n">
        <v>830</v>
      </c>
    </row>
    <row r="42" customFormat="false" ht="15.75" hidden="false" customHeight="false" outlineLevel="0" collapsed="false">
      <c r="A42" s="11" t="s">
        <v>48</v>
      </c>
      <c r="B42" s="11" t="n">
        <f aca="false">B37</f>
        <v>230</v>
      </c>
    </row>
    <row r="43" customFormat="false" ht="15.75" hidden="false" customHeight="false" outlineLevel="0" collapsed="false">
      <c r="A43" s="11" t="s">
        <v>49</v>
      </c>
      <c r="B43" s="11" t="n">
        <v>-800</v>
      </c>
    </row>
    <row r="44" customFormat="false" ht="15.75" hidden="false" customHeight="false" outlineLevel="0" collapsed="false">
      <c r="A44" s="7" t="s">
        <v>50</v>
      </c>
      <c r="B44" s="7" t="n">
        <f aca="false">B41+B42-B43</f>
        <v>1860</v>
      </c>
    </row>
    <row r="46" customFormat="false" ht="15.75" hidden="false" customHeight="false" outlineLevel="0" collapsed="false">
      <c r="A46" s="26" t="s">
        <v>51</v>
      </c>
      <c r="B46" s="26"/>
    </row>
    <row r="48" customFormat="false" ht="15.75" hidden="false" customHeight="false" outlineLevel="0" collapsed="false">
      <c r="A48" s="19" t="s">
        <v>40</v>
      </c>
      <c r="B48" s="19"/>
    </row>
    <row r="49" customFormat="false" ht="15.75" hidden="false" customHeight="false" outlineLevel="0" collapsed="false">
      <c r="A49" s="19" t="s">
        <v>52</v>
      </c>
      <c r="B49" s="19"/>
    </row>
    <row r="50" customFormat="false" ht="15.75" hidden="false" customHeight="false" outlineLevel="0" collapsed="false">
      <c r="A50" s="20"/>
      <c r="B50" s="20" t="s">
        <v>42</v>
      </c>
    </row>
    <row r="51" customFormat="false" ht="15.75" hidden="false" customHeight="false" outlineLevel="0" collapsed="false">
      <c r="A51" s="28" t="s">
        <v>53</v>
      </c>
      <c r="B51" s="20"/>
    </row>
    <row r="52" customFormat="false" ht="15.75" hidden="false" customHeight="false" outlineLevel="0" collapsed="false">
      <c r="A52" s="29" t="s">
        <v>54</v>
      </c>
      <c r="B52" s="20"/>
    </row>
    <row r="53" customFormat="false" ht="15.75" hidden="false" customHeight="false" outlineLevel="0" collapsed="false">
      <c r="A53" s="10" t="s">
        <v>21</v>
      </c>
      <c r="B53" s="11" t="n">
        <v>400</v>
      </c>
    </row>
    <row r="54" customFormat="false" ht="15.75" hidden="false" customHeight="false" outlineLevel="0" collapsed="false">
      <c r="A54" s="10" t="s">
        <v>26</v>
      </c>
      <c r="B54" s="11" t="n">
        <v>1200</v>
      </c>
    </row>
    <row r="55" customFormat="false" ht="15.75" hidden="false" customHeight="false" outlineLevel="0" collapsed="false">
      <c r="A55" s="10" t="s">
        <v>14</v>
      </c>
      <c r="B55" s="11" t="n">
        <v>150</v>
      </c>
    </row>
    <row r="56" customFormat="false" ht="15.75" hidden="false" customHeight="false" outlineLevel="0" collapsed="false">
      <c r="A56" s="20" t="s">
        <v>55</v>
      </c>
      <c r="B56" s="7" t="n">
        <f aca="false">SUM(B53:B55)</f>
        <v>1750</v>
      </c>
    </row>
    <row r="57" customFormat="false" ht="15.75" hidden="false" customHeight="false" outlineLevel="0" collapsed="false">
      <c r="A57" s="29" t="s">
        <v>56</v>
      </c>
      <c r="B57" s="11"/>
    </row>
    <row r="58" customFormat="false" ht="15.75" hidden="false" customHeight="false" outlineLevel="0" collapsed="false">
      <c r="A58" s="10" t="s">
        <v>28</v>
      </c>
      <c r="B58" s="11" t="n">
        <v>200</v>
      </c>
    </row>
    <row r="59" customFormat="false" ht="15.75" hidden="false" customHeight="false" outlineLevel="0" collapsed="false">
      <c r="A59" s="20" t="s">
        <v>57</v>
      </c>
      <c r="B59" s="7" t="n">
        <v>200</v>
      </c>
    </row>
    <row r="60" customFormat="false" ht="15.75" hidden="false" customHeight="false" outlineLevel="0" collapsed="false">
      <c r="A60" s="20" t="s">
        <v>58</v>
      </c>
      <c r="B60" s="7" t="n">
        <f aca="false">SUM(B56,B59)</f>
        <v>1950</v>
      </c>
    </row>
    <row r="61" customFormat="false" ht="15.75" hidden="false" customHeight="false" outlineLevel="0" collapsed="false">
      <c r="A61" s="28" t="s">
        <v>59</v>
      </c>
      <c r="B61" s="11"/>
    </row>
    <row r="62" customFormat="false" ht="15.75" hidden="false" customHeight="false" outlineLevel="0" collapsed="false">
      <c r="A62" s="29" t="s">
        <v>60</v>
      </c>
      <c r="B62" s="11"/>
    </row>
    <row r="63" customFormat="false" ht="15.75" hidden="false" customHeight="false" outlineLevel="0" collapsed="false">
      <c r="A63" s="10" t="s">
        <v>12</v>
      </c>
      <c r="B63" s="11" t="n">
        <v>760</v>
      </c>
    </row>
    <row r="64" customFormat="false" ht="15.75" hidden="false" customHeight="false" outlineLevel="0" collapsed="false">
      <c r="A64" s="10" t="s">
        <v>23</v>
      </c>
      <c r="B64" s="11" t="n">
        <v>70</v>
      </c>
    </row>
    <row r="65" customFormat="false" ht="15.75" hidden="false" customHeight="false" outlineLevel="0" collapsed="false">
      <c r="A65" s="10" t="s">
        <v>33</v>
      </c>
      <c r="B65" s="11" t="n">
        <v>110</v>
      </c>
    </row>
    <row r="66" customFormat="false" ht="15.75" hidden="false" customHeight="false" outlineLevel="0" collapsed="false">
      <c r="A66" s="20" t="s">
        <v>61</v>
      </c>
      <c r="B66" s="7" t="n">
        <f aca="false">SUM(B63:B65)</f>
        <v>940</v>
      </c>
    </row>
    <row r="67" customFormat="false" ht="15.75" hidden="false" customHeight="false" outlineLevel="0" collapsed="false">
      <c r="A67" s="29" t="s">
        <v>62</v>
      </c>
      <c r="B67" s="11"/>
    </row>
    <row r="68" customFormat="false" ht="15.75" hidden="false" customHeight="false" outlineLevel="0" collapsed="false">
      <c r="A68" s="10" t="s">
        <v>36</v>
      </c>
      <c r="B68" s="11" t="n">
        <v>60</v>
      </c>
    </row>
    <row r="69" customFormat="false" ht="15.75" hidden="false" customHeight="false" outlineLevel="0" collapsed="false">
      <c r="A69" s="20" t="s">
        <v>63</v>
      </c>
      <c r="B69" s="7" t="n">
        <v>60</v>
      </c>
    </row>
    <row r="70" customFormat="false" ht="15.75" hidden="false" customHeight="false" outlineLevel="0" collapsed="false">
      <c r="A70" s="20" t="s">
        <v>64</v>
      </c>
      <c r="B70" s="7" t="n">
        <f aca="false">SUM(B66,B69)</f>
        <v>1000</v>
      </c>
    </row>
    <row r="71" customFormat="false" ht="15.75" hidden="false" customHeight="false" outlineLevel="0" collapsed="false">
      <c r="A71" s="28" t="s">
        <v>65</v>
      </c>
      <c r="B71" s="11"/>
    </row>
    <row r="72" customFormat="false" ht="15.75" hidden="false" customHeight="false" outlineLevel="0" collapsed="false">
      <c r="A72" s="10" t="s">
        <v>38</v>
      </c>
      <c r="B72" s="11" t="n">
        <v>260</v>
      </c>
    </row>
    <row r="73" customFormat="false" ht="15.75" hidden="false" customHeight="false" outlineLevel="0" collapsed="false">
      <c r="A73" s="10" t="s">
        <v>32</v>
      </c>
      <c r="B73" s="11" t="n">
        <v>690</v>
      </c>
    </row>
    <row r="74" customFormat="false" ht="15.75" hidden="false" customHeight="false" outlineLevel="0" collapsed="false">
      <c r="A74" s="20" t="s">
        <v>66</v>
      </c>
      <c r="B74" s="7" t="n">
        <f aca="false">SUM(B72:B73)</f>
        <v>950</v>
      </c>
    </row>
    <row r="75" customFormat="false" ht="15.75" hidden="false" customHeight="false" outlineLevel="0" collapsed="false">
      <c r="A75" s="20" t="s">
        <v>67</v>
      </c>
      <c r="B75" s="7" t="n">
        <f aca="false">SUM(B70,B74)</f>
        <v>1950</v>
      </c>
    </row>
  </sheetData>
  <mergeCells count="7">
    <mergeCell ref="A1:B2"/>
    <mergeCell ref="A23:B23"/>
    <mergeCell ref="A25:B25"/>
    <mergeCell ref="A39:B39"/>
    <mergeCell ref="A46:B46"/>
    <mergeCell ref="A48:B48"/>
    <mergeCell ref="A49:B4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A79FCA4A2D1542A9839FB50493CB18" ma:contentTypeVersion="10" ma:contentTypeDescription="Create a new document." ma:contentTypeScope="" ma:versionID="a35089e9eeb653e7a2595f911b407e0b">
  <xsd:schema xmlns:xsd="http://www.w3.org/2001/XMLSchema" xmlns:xs="http://www.w3.org/2001/XMLSchema" xmlns:p="http://schemas.microsoft.com/office/2006/metadata/properties" xmlns:ns2="03232e25-eeea-4fd2-9109-0cffb1de08c4" xmlns:ns3="c2e7fecd-dea5-49ff-a734-8330887b0244" targetNamespace="http://schemas.microsoft.com/office/2006/metadata/properties" ma:root="true" ma:fieldsID="5d9cb5620a06630ba2f5909cf2b0a9ce" ns2:_="" ns3:_="">
    <xsd:import namespace="03232e25-eeea-4fd2-9109-0cffb1de08c4"/>
    <xsd:import namespace="c2e7fecd-dea5-49ff-a734-8330887b02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232e25-eeea-4fd2-9109-0cffb1de08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e7fecd-dea5-49ff-a734-8330887b024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4FA69A-AAF1-4DEB-92CC-F97F18BF2B9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FC0B50B-5813-4958-B9F3-8364B1F41B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98607A-85C7-4F48-B43C-B1596D1A30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232e25-eeea-4fd2-9109-0cffb1de08c4"/>
    <ds:schemaRef ds:uri="c2e7fecd-dea5-49ff-a734-8330887b02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LibreOffice/26.2.0.3$Linux_X86_64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2023-11-23T09:30:11Z</dcterms:created>
  <dc:creator>Phuc Nguyen</dc:creator>
  <dc:description/>
  <dc:language>en-US</dc:language>
  <cp:lastModifiedBy/>
  <dcterms:modified xsi:type="dcterms:W3CDTF">2026-02-25T17:01:35Z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0x01010036A79FCA4A2D1542A9839FB50493CB18</vt:lpwstr>
  </property>
  <property fmtid="{D5CDD505-2E9C-101B-9397-08002B2CF9AE}" pid="3" name="MediaServiceImageTags">
    <vt:lpwstr/>
  </property>
</Properties>
</file>