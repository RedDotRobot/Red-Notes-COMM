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utorial Problem" sheetId="1" state="visible" r:id="rId1"/>
  </sheets>
  <calcPr/>
</workbook>
</file>

<file path=xl/sharedStrings.xml><?xml version="1.0" encoding="utf-8"?>
<sst xmlns="http://schemas.openxmlformats.org/spreadsheetml/2006/main" count="35" uniqueCount="35">
  <si>
    <t>Transaction</t>
  </si>
  <si>
    <t>Assets</t>
  </si>
  <si>
    <t>Liabilities</t>
  </si>
  <si>
    <t>Equity</t>
  </si>
  <si>
    <t xml:space="preserve">Details of Retained Profits</t>
  </si>
  <si>
    <t>Cash</t>
  </si>
  <si>
    <t>Inventory</t>
  </si>
  <si>
    <t xml:space="preserve">Accounts receivable</t>
  </si>
  <si>
    <t>Supplies</t>
  </si>
  <si>
    <t xml:space="preserve">Prepaid insurance</t>
  </si>
  <si>
    <t xml:space="preserve">Accounts payable</t>
  </si>
  <si>
    <t xml:space="preserve">Wages payable</t>
  </si>
  <si>
    <t xml:space="preserve">Unearned revenue</t>
  </si>
  <si>
    <t xml:space="preserve">Electricity payable</t>
  </si>
  <si>
    <t xml:space="preserve">Share Capital</t>
  </si>
  <si>
    <t xml:space="preserve">Retained Profits</t>
  </si>
  <si>
    <t>#1</t>
  </si>
  <si>
    <t>#2</t>
  </si>
  <si>
    <t>#3</t>
  </si>
  <si>
    <t>Profit</t>
  </si>
  <si>
    <t>#4</t>
  </si>
  <si>
    <t>#5</t>
  </si>
  <si>
    <t>Dividends</t>
  </si>
  <si>
    <t>#6</t>
  </si>
  <si>
    <t>#7</t>
  </si>
  <si>
    <t xml:space="preserve">Wages expense</t>
  </si>
  <si>
    <t>#8</t>
  </si>
  <si>
    <t>#9</t>
  </si>
  <si>
    <t xml:space="preserve">Electricity expense</t>
  </si>
  <si>
    <t>#10</t>
  </si>
  <si>
    <t xml:space="preserve">Supplies expense</t>
  </si>
  <si>
    <t>#11</t>
  </si>
  <si>
    <t xml:space="preserve">Insurance expense</t>
  </si>
  <si>
    <t>Total</t>
  </si>
  <si>
    <t xml:space="preserve">Liabilities + 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</si>
</sst>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">
    <font>
      <sz val="12.000000"/>
      <color theme="1"/>
      <name val="Calibri"/>
      <scheme val="minor"/>
    </font>
    <font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</patternFill>
    </fill>
    <fill>
      <patternFill patternType="solid">
        <fgColor theme="5" tint="0.79998168889431442"/>
      </patternFill>
    </fill>
    <fill>
      <patternFill patternType="solid">
        <fgColor theme="7" tint="0.79998168889431442"/>
      </patternFill>
    </fill>
    <fill>
      <patternFill patternType="solid">
        <fgColor theme="8" tint="0.79998168889431442"/>
      </patternFill>
    </fill>
    <fill>
      <patternFill patternType="solid">
        <fgColor theme="3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0" applyNumberFormat="1" applyFont="1" applyFill="1" applyBorder="1"/>
  </cellStyleXfs>
  <cellXfs count="19">
    <xf fontId="0" fillId="0" borderId="0" numFmtId="0" xfId="0"/>
    <xf fontId="0" fillId="0" borderId="0" numFmtId="165" xfId="1" applyNumberFormat="1"/>
    <xf fontId="2" fillId="2" borderId="1" numFmtId="165" xfId="1" applyNumberFormat="1" applyFont="1" applyFill="1" applyBorder="1" applyAlignment="1">
      <alignment horizontal="center" vertical="center" wrapText="1"/>
    </xf>
    <xf fontId="2" fillId="3" borderId="1" numFmtId="165" xfId="1" applyNumberFormat="1" applyFont="1" applyFill="1" applyBorder="1" applyAlignment="1">
      <alignment horizontal="center" wrapText="1"/>
    </xf>
    <xf fontId="2" fillId="4" borderId="1" numFmtId="165" xfId="1" applyNumberFormat="1" applyFont="1" applyFill="1" applyBorder="1" applyAlignment="1">
      <alignment horizontal="center" wrapText="1"/>
    </xf>
    <xf fontId="2" fillId="5" borderId="1" numFmtId="165" xfId="1" applyNumberFormat="1" applyFont="1" applyFill="1" applyBorder="1" applyAlignment="1">
      <alignment horizontal="center" wrapText="1"/>
    </xf>
    <xf fontId="2" fillId="6" borderId="1" numFmtId="165" xfId="1" applyNumberFormat="1" applyFont="1" applyFill="1" applyBorder="1" applyAlignment="1">
      <alignment horizontal="center" vertical="center" wrapText="1"/>
    </xf>
    <xf fontId="2" fillId="3" borderId="1" numFmtId="165" xfId="1" applyNumberFormat="1" applyFont="1" applyFill="1" applyBorder="1" applyAlignment="1">
      <alignment wrapText="1"/>
    </xf>
    <xf fontId="2" fillId="4" borderId="1" numFmtId="165" xfId="1" applyNumberFormat="1" applyFont="1" applyFill="1" applyBorder="1" applyAlignment="1">
      <alignment wrapText="1"/>
    </xf>
    <xf fontId="2" fillId="5" borderId="1" numFmtId="165" xfId="1" applyNumberFormat="1" applyFont="1" applyFill="1" applyBorder="1" applyAlignment="1">
      <alignment wrapText="1"/>
    </xf>
    <xf fontId="0" fillId="2" borderId="1" numFmtId="165" xfId="1" applyNumberFormat="1" applyFill="1" applyBorder="1"/>
    <xf fontId="0" fillId="3" borderId="1" numFmtId="165" xfId="1" applyNumberFormat="1" applyFill="1" applyBorder="1"/>
    <xf fontId="0" fillId="4" borderId="1" numFmtId="165" xfId="1" applyNumberFormat="1" applyFill="1" applyBorder="1"/>
    <xf fontId="0" fillId="5" borderId="1" numFmtId="165" xfId="1" applyNumberFormat="1" applyFill="1" applyBorder="1"/>
    <xf fontId="0" fillId="6" borderId="1" numFmtId="165" xfId="1" applyNumberFormat="1" applyFill="1" applyBorder="1"/>
    <xf fontId="0" fillId="6" borderId="1" numFmtId="165" xfId="1" applyNumberFormat="1" applyFill="1" applyBorder="1"/>
    <xf fontId="0" fillId="0" borderId="0" numFmtId="165" xfId="1" applyNumberFormat="1"/>
    <xf fontId="2" fillId="2" borderId="1" numFmtId="165" xfId="1" applyNumberFormat="1" applyFont="1" applyFill="1" applyBorder="1"/>
    <xf fontId="2" fillId="3" borderId="1" numFmtId="165" xfId="1" applyNumberFormat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6</xdr:col>
      <xdr:colOff>812583</xdr:colOff>
      <xdr:row>17</xdr:row>
      <xdr:rowOff>15875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5765583" cy="352425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L12" activeCellId="0" sqref="L12"/>
    </sheetView>
  </sheetViews>
  <sheetFormatPr defaultColWidth="10.875" defaultRowHeight="16.5"/>
  <cols>
    <col min="1" max="12" style="1" width="10.875"/>
    <col bestFit="1" customWidth="1" min="13" max="13" style="1" width="17.875"/>
    <col min="14" max="16384" style="1" width="10.875"/>
  </cols>
  <sheetData>
    <row r="19">
      <c r="A19" s="2" t="s">
        <v>0</v>
      </c>
      <c r="B19" s="3" t="s">
        <v>1</v>
      </c>
      <c r="C19" s="3"/>
      <c r="D19" s="3"/>
      <c r="E19" s="3"/>
      <c r="F19" s="3"/>
      <c r="G19" s="4" t="s">
        <v>2</v>
      </c>
      <c r="H19" s="4"/>
      <c r="I19" s="4"/>
      <c r="J19" s="4"/>
      <c r="K19" s="5" t="s">
        <v>3</v>
      </c>
      <c r="L19" s="5"/>
      <c r="M19" s="6" t="s">
        <v>4</v>
      </c>
    </row>
    <row r="20" ht="33">
      <c r="A20" s="2"/>
      <c r="B20" s="7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8" t="s">
        <v>10</v>
      </c>
      <c r="H20" s="8" t="s">
        <v>11</v>
      </c>
      <c r="I20" s="8" t="s">
        <v>12</v>
      </c>
      <c r="J20" s="8" t="s">
        <v>13</v>
      </c>
      <c r="K20" s="9" t="s">
        <v>14</v>
      </c>
      <c r="L20" s="9" t="s">
        <v>15</v>
      </c>
      <c r="M20" s="6"/>
    </row>
    <row r="21">
      <c r="A21" s="10" t="s">
        <v>16</v>
      </c>
      <c r="B21" s="11">
        <v>400000</v>
      </c>
      <c r="C21" s="11"/>
      <c r="D21" s="11"/>
      <c r="E21" s="11"/>
      <c r="F21" s="11"/>
      <c r="G21" s="12"/>
      <c r="H21" s="12"/>
      <c r="I21" s="12"/>
      <c r="J21" s="12"/>
      <c r="K21" s="13">
        <v>400000</v>
      </c>
      <c r="L21" s="13"/>
      <c r="M21" s="14"/>
    </row>
    <row r="22">
      <c r="A22" s="10" t="s">
        <v>17</v>
      </c>
      <c r="B22" s="11"/>
      <c r="C22" s="11">
        <v>70000</v>
      </c>
      <c r="D22" s="11"/>
      <c r="E22" s="11"/>
      <c r="F22" s="11"/>
      <c r="G22" s="12">
        <v>70000</v>
      </c>
      <c r="H22" s="12"/>
      <c r="I22" s="12"/>
      <c r="J22" s="12"/>
      <c r="K22" s="13"/>
      <c r="L22" s="13"/>
      <c r="M22" s="14"/>
    </row>
    <row r="23">
      <c r="A23" s="10" t="s">
        <v>18</v>
      </c>
      <c r="B23" s="11"/>
      <c r="C23" s="11">
        <v>-60000</v>
      </c>
      <c r="D23" s="11"/>
      <c r="E23" s="11"/>
      <c r="F23" s="11"/>
      <c r="G23" s="12"/>
      <c r="H23" s="12"/>
      <c r="I23" s="12"/>
      <c r="J23" s="12"/>
      <c r="K23" s="13"/>
      <c r="L23" s="13"/>
      <c r="M23" s="14"/>
    </row>
    <row r="24">
      <c r="A24" s="10"/>
      <c r="B24" s="11"/>
      <c r="C24" s="11"/>
      <c r="D24" s="11">
        <v>190000</v>
      </c>
      <c r="E24" s="11"/>
      <c r="F24" s="11"/>
      <c r="G24" s="12"/>
      <c r="H24" s="12"/>
      <c r="I24" s="12"/>
      <c r="J24" s="12"/>
      <c r="K24" s="13"/>
      <c r="L24" s="13">
        <v>130000</v>
      </c>
      <c r="M24" s="15" t="s">
        <v>19</v>
      </c>
    </row>
    <row r="25">
      <c r="A25" s="10" t="s">
        <v>20</v>
      </c>
      <c r="B25" s="11">
        <v>100000</v>
      </c>
      <c r="C25" s="11"/>
      <c r="D25" s="11">
        <v>-100000</v>
      </c>
      <c r="E25" s="11"/>
      <c r="F25" s="11"/>
      <c r="G25" s="12"/>
      <c r="H25" s="12"/>
      <c r="I25" s="12"/>
      <c r="J25" s="12"/>
      <c r="K25" s="13"/>
      <c r="L25" s="13"/>
      <c r="M25" s="14"/>
    </row>
    <row r="26">
      <c r="A26" s="10" t="s">
        <v>21</v>
      </c>
      <c r="B26" s="11">
        <v>-40000</v>
      </c>
      <c r="C26" s="11"/>
      <c r="D26" s="11"/>
      <c r="E26" s="11"/>
      <c r="F26" s="11"/>
      <c r="G26" s="12"/>
      <c r="H26" s="12"/>
      <c r="I26" s="12"/>
      <c r="J26" s="12"/>
      <c r="K26" s="13"/>
      <c r="L26" s="13">
        <v>-40000</v>
      </c>
      <c r="M26" s="15" t="s">
        <v>22</v>
      </c>
    </row>
    <row r="27">
      <c r="A27" s="10" t="s">
        <v>23</v>
      </c>
      <c r="B27" s="11">
        <v>-32000</v>
      </c>
      <c r="C27" s="11"/>
      <c r="D27" s="11"/>
      <c r="E27" s="11"/>
      <c r="F27" s="11"/>
      <c r="G27" s="12">
        <v>-32000</v>
      </c>
      <c r="H27" s="12"/>
      <c r="I27" s="12"/>
      <c r="J27" s="12"/>
      <c r="K27" s="13"/>
      <c r="L27" s="13"/>
      <c r="M27" s="14"/>
    </row>
    <row r="28">
      <c r="A28" s="10" t="s">
        <v>24</v>
      </c>
      <c r="B28" s="11">
        <v>-90000</v>
      </c>
      <c r="C28" s="11"/>
      <c r="D28" s="11"/>
      <c r="E28" s="11"/>
      <c r="F28" s="11"/>
      <c r="G28" s="12"/>
      <c r="H28" s="12">
        <v>10000</v>
      </c>
      <c r="I28" s="12"/>
      <c r="J28" s="12"/>
      <c r="K28" s="13"/>
      <c r="L28" s="13">
        <v>-100000</v>
      </c>
      <c r="M28" s="15" t="s">
        <v>25</v>
      </c>
      <c r="N28" s="16"/>
    </row>
    <row r="29">
      <c r="A29" s="10" t="s">
        <v>26</v>
      </c>
      <c r="B29" s="11">
        <v>70000</v>
      </c>
      <c r="C29" s="11"/>
      <c r="D29" s="11"/>
      <c r="E29" s="11"/>
      <c r="F29" s="11"/>
      <c r="G29" s="12"/>
      <c r="H29" s="12"/>
      <c r="I29" s="12">
        <v>70000</v>
      </c>
      <c r="J29" s="12"/>
      <c r="K29" s="13"/>
      <c r="L29" s="13"/>
      <c r="M29" s="14"/>
    </row>
    <row r="30">
      <c r="A30" s="10" t="s">
        <v>27</v>
      </c>
      <c r="B30" s="11"/>
      <c r="C30" s="11"/>
      <c r="D30" s="11"/>
      <c r="E30" s="11"/>
      <c r="F30" s="11"/>
      <c r="G30" s="12"/>
      <c r="H30" s="12"/>
      <c r="I30" s="12"/>
      <c r="J30" s="12">
        <v>15000</v>
      </c>
      <c r="K30" s="13"/>
      <c r="L30" s="13">
        <v>-15000</v>
      </c>
      <c r="M30" s="15" t="s">
        <v>28</v>
      </c>
    </row>
    <row r="31">
      <c r="A31" s="10" t="s">
        <v>29</v>
      </c>
      <c r="B31" s="11"/>
      <c r="C31" s="11"/>
      <c r="D31" s="11"/>
      <c r="E31" s="11">
        <v>800</v>
      </c>
      <c r="F31" s="11"/>
      <c r="G31" s="12">
        <v>4000</v>
      </c>
      <c r="H31" s="12"/>
      <c r="I31" s="12"/>
      <c r="J31" s="12"/>
      <c r="K31" s="13"/>
      <c r="L31" s="13">
        <v>-3200</v>
      </c>
      <c r="M31" s="15" t="s">
        <v>30</v>
      </c>
    </row>
    <row r="32">
      <c r="A32" s="10" t="s">
        <v>31</v>
      </c>
      <c r="B32" s="11">
        <v>-24000</v>
      </c>
      <c r="C32" s="11"/>
      <c r="D32" s="11"/>
      <c r="E32" s="11"/>
      <c r="F32" s="11">
        <v>6000</v>
      </c>
      <c r="G32" s="12"/>
      <c r="H32" s="12"/>
      <c r="I32" s="12"/>
      <c r="J32" s="12"/>
      <c r="K32" s="13"/>
      <c r="L32" s="13">
        <v>-18000</v>
      </c>
      <c r="M32" s="15" t="s">
        <v>32</v>
      </c>
    </row>
    <row r="33">
      <c r="A33" s="17" t="s">
        <v>33</v>
      </c>
      <c r="B33" s="18">
        <f>SUM(B21:B32)</f>
        <v>384000</v>
      </c>
      <c r="C33" s="18">
        <f>SUM(C21:C32)</f>
        <v>10000</v>
      </c>
      <c r="D33" s="18">
        <f>SUM(D21:D32)</f>
        <v>90000</v>
      </c>
      <c r="E33" s="18">
        <f>SUM(E21:E32)</f>
        <v>800</v>
      </c>
      <c r="F33" s="18">
        <f>SUM(F21:F32)</f>
        <v>6000</v>
      </c>
      <c r="G33" s="18">
        <f>SUM(G21:G32)</f>
        <v>42000</v>
      </c>
      <c r="H33" s="18">
        <f>SUM(H21:H32)</f>
        <v>10000</v>
      </c>
      <c r="I33" s="18">
        <f>SUM(I21:I32)</f>
        <v>70000</v>
      </c>
      <c r="J33" s="18">
        <f>SUM(J21:J32)</f>
        <v>15000</v>
      </c>
      <c r="K33" s="18">
        <f>SUM(K21:K32)</f>
        <v>400000</v>
      </c>
      <c r="L33" s="18">
        <f>SUM(L21:L32)</f>
        <v>-46200</v>
      </c>
      <c r="M33" s="14"/>
    </row>
    <row r="36" ht="16.5">
      <c r="A36" s="16" t="s">
        <v>1</v>
      </c>
      <c r="B36" s="1">
        <f>SUM(B21:F32)</f>
        <v>490800</v>
      </c>
    </row>
    <row r="37" ht="16.5">
      <c r="A37" s="16" t="s">
        <v>34</v>
      </c>
      <c r="B37" s="1">
        <f>SUM(G21:L32)</f>
        <v>490800</v>
      </c>
    </row>
    <row r="41" ht="16.5">
      <c r="A41" s="1"/>
    </row>
  </sheetData>
  <mergeCells count="5">
    <mergeCell ref="A19:A20"/>
    <mergeCell ref="B19:F19"/>
    <mergeCell ref="G19:J19"/>
    <mergeCell ref="K19:L19"/>
    <mergeCell ref="M19:M2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A79FCA4A2D1542A9839FB50493CB18" ma:contentTypeVersion="10" ma:contentTypeDescription="Create a new document." ma:contentTypeScope="" ma:versionID="a35089e9eeb653e7a2595f911b407e0b">
  <xsd:schema xmlns:xsd="http://www.w3.org/2001/XMLSchema" xmlns:xs="http://www.w3.org/2001/XMLSchema" xmlns:p="http://schemas.microsoft.com/office/2006/metadata/properties" xmlns:ns2="03232e25-eeea-4fd2-9109-0cffb1de08c4" xmlns:ns3="c2e7fecd-dea5-49ff-a734-8330887b0244" targetNamespace="http://schemas.microsoft.com/office/2006/metadata/properties" ma:root="true" ma:fieldsID="5d9cb5620a06630ba2f5909cf2b0a9ce" ns2:_="" ns3:_="">
    <xsd:import namespace="03232e25-eeea-4fd2-9109-0cffb1de08c4"/>
    <xsd:import namespace="c2e7fecd-dea5-49ff-a734-8330887b02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2e25-eeea-4fd2-9109-0cffb1de08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e7fecd-dea5-49ff-a734-8330887b024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8d05388f-3a8d-43f6-8d02-aaa927f868b7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dd5adbd8-68ff-4ef6-afd1-ca4aba676dad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232e25-eeea-4fd2-9109-0cffb1de08c4"/>
    <ds:schemaRef ds:uri="c2e7fecd-dea5-49ff-a734-8330887b0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8bf558fa-0256-46ee-9b15-a8db827864d9">
  <ds:schemaRefs>
    <ds:schemaRef ds:uri="http://schemas.microsoft.com/office/2006/metadata/properties"/>
    <ds:schemaRef ds:uri="http://schemas.microsoft.com/office/infopath/2007/PartnerControls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Phuc Nguyen</dc:creator>
  <cp:keywords/>
  <dc:description/>
  <cp:revision>2</cp:revision>
  <dcterms:created xsi:type="dcterms:W3CDTF">2023-11-23T10:03:05Z</dcterms:created>
  <dcterms:modified xsi:type="dcterms:W3CDTF">2026-03-03T08:44:00Z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0x01010036A79FCA4A2D1542A9839FB50493CB18</vt:lpwstr>
  </property>
  <property fmtid="{D5CDD505-2E9C-101B-9397-08002B2CF9AE}" pid="3" name="MediaServiceImageTags">
    <vt:lpwstr/>
  </property>
</Properties>
</file>