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utorial Questions" sheetId="1" state="visible" r:id="rId4"/>
  </sheets>
  <calcPr calcMode="manual" calcCompleted="0" calcOnSave="0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<sst xmlns="http://schemas.openxmlformats.org/spreadsheetml/2006/main" count="40" uniqueCount="40">
  <si>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 xml:space="preserve">Question 1</t>
  </si>
  <si>
    <t xml:space="preserve">Question 2</t>
  </si>
  <si>
    <t xml:space="preserve">Question 3</t>
  </si>
  <si>
    <t xml:space="preserve">Part a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</si>
  <si>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</si>
  <si>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</si>
  <si>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</si>
  <si>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</si>
  <si>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</si>
  <si>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>EBIT</t>
  </si>
  <si>
    <t xml:space="preserve">Year 0</t>
  </si>
  <si>
    <t xml:space="preserve">Accounts receivable</t>
  </si>
  <si>
    <t xml:space="preserve">Interest expense</t>
  </si>
  <si>
    <t>Revenue</t>
  </si>
  <si>
    <t>Inventory</t>
  </si>
  <si>
    <t xml:space="preserve">Depreciation expense</t>
  </si>
  <si>
    <t>COGS</t>
  </si>
  <si>
    <t xml:space="preserve">Accounts payable</t>
  </si>
  <si>
    <t>Capex</t>
  </si>
  <si>
    <t xml:space="preserve">Selling, General &amp; Admin expenses (SG&amp;A)</t>
  </si>
  <si>
    <t xml:space="preserve">Operating Net Working Capital (ONWC)</t>
  </si>
  <si>
    <t xml:space="preserve">Increase in ONWC</t>
  </si>
  <si>
    <t xml:space="preserve">Change in ONWC</t>
  </si>
  <si>
    <t xml:space="preserve">Tax rate</t>
  </si>
  <si>
    <t xml:space="preserve">Effect on Free Cash Flow</t>
  </si>
  <si>
    <t xml:space="preserve">* All figures are in millions of $</t>
  </si>
  <si>
    <t>EBIT*(1-t)</t>
  </si>
  <si>
    <t xml:space="preserve">+ Depreciation expense</t>
  </si>
  <si>
    <t xml:space="preserve">Net income (earnings)</t>
  </si>
  <si>
    <t xml:space="preserve">- Capital expenditures</t>
  </si>
  <si>
    <t xml:space="preserve">Free Cash Flow (FCF)</t>
  </si>
  <si>
    <t xml:space="preserve">- Operating net working capital</t>
  </si>
  <si>
    <t xml:space="preserve">= Free Cash Flow (FCF)</t>
  </si>
  <si>
    <t xml:space="preserve">Part b</t>
  </si>
  <si>
    <t xml:space="preserve">Market cap</t>
  </si>
  <si>
    <t>Debt</t>
  </si>
  <si>
    <t>Cash</t>
  </si>
  <si>
    <t xml:space="preserve">Enterprise Value (EV)</t>
  </si>
  <si>
    <t xml:space="preserve">Revenue </t>
  </si>
  <si>
    <t xml:space="preserve">EV/Sales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</si>
</sst>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_-* #,##0_-;\-* #,##0_-;_-* &quot;-&quot;??_-;_-@_-"/>
  </numFmts>
  <fonts count="7">
    <font>
      <sz val="12.000000"/>
      <color theme="1"/>
      <name val="Calibri"/>
      <scheme val="minor"/>
    </font>
    <font>
      <b/>
      <sz val="12.000000"/>
      <color rgb="FFFA7D00"/>
      <name val="Calibri"/>
      <scheme val="minor"/>
    </font>
    <font>
      <sz val="11.000000"/>
      <color theme="1"/>
      <name val="Calibri"/>
      <scheme val="minor"/>
    </font>
    <font>
      <b/>
      <sz val="11.000000"/>
      <color indexed="2"/>
      <name val="Calibri"/>
      <scheme val="minor"/>
    </font>
    <font>
      <b/>
      <sz val="12.000000"/>
      <color indexed="2"/>
      <name val="Calibri"/>
      <scheme val="minor"/>
    </font>
    <font>
      <b/>
      <sz val="11.000000"/>
      <color theme="1"/>
      <name val="Calibri"/>
      <scheme val="minor"/>
    </font>
    <font>
      <b/>
      <sz val="12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5"/>
      </patternFill>
    </fill>
    <fill>
      <patternFill patternType="solid">
        <fgColor theme="5" tint="0.7999816888943144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4">
    <xf fontId="0" fillId="0" borderId="0" numFmtId="0" applyNumberFormat="1" applyFont="1" applyFill="1" applyBorder="1"/>
    <xf fontId="1" fillId="2" borderId="1" numFmtId="0" applyNumberFormat="0" applyFont="1" applyFill="1" applyBorder="1" applyProtection="0"/>
    <xf fontId="2" fillId="0" borderId="0" numFmtId="164" applyNumberFormat="1" applyFont="0" applyFill="0" applyBorder="0" applyProtection="0"/>
    <xf fontId="2" fillId="0" borderId="0" numFmtId="9" applyNumberFormat="1" applyFont="0" applyFill="0" applyBorder="0" applyProtection="0"/>
  </cellStyleXfs>
  <cellXfs count="18">
    <xf fontId="0" fillId="0" borderId="0" numFmtId="0" xfId="0"/>
    <xf fontId="0" fillId="0" borderId="0" numFmtId="165" xfId="2" applyNumberFormat="1"/>
    <xf fontId="3" fillId="3" borderId="0" numFmtId="165" xfId="2" applyNumberFormat="1" applyFont="1" applyFill="1"/>
    <xf fontId="4" fillId="3" borderId="0" numFmtId="165" xfId="2" applyNumberFormat="1" applyFont="1" applyFill="1"/>
    <xf fontId="4" fillId="0" borderId="0" numFmtId="165" xfId="2" applyNumberFormat="1" applyFont="1"/>
    <xf fontId="0" fillId="0" borderId="2" numFmtId="165" xfId="2" applyNumberFormat="1" applyBorder="1"/>
    <xf fontId="5" fillId="0" borderId="2" numFmtId="165" xfId="2" applyNumberFormat="1" applyFont="1" applyBorder="1"/>
    <xf fontId="6" fillId="0" borderId="2" numFmtId="165" xfId="2" applyNumberFormat="1" applyFont="1" applyBorder="1"/>
    <xf fontId="0" fillId="0" borderId="2" numFmtId="165" xfId="2" applyNumberFormat="1" applyBorder="1" quotePrefix="1"/>
    <xf fontId="0" fillId="0" borderId="2" numFmtId="165" xfId="2" applyNumberFormat="1" applyBorder="1" applyAlignment="1" quotePrefix="1">
      <alignment wrapText="1"/>
    </xf>
    <xf fontId="5" fillId="0" borderId="2" numFmtId="165" xfId="2" applyNumberFormat="1" applyFont="1" applyBorder="1" applyAlignment="1">
      <alignment wrapText="1"/>
    </xf>
    <xf fontId="1" fillId="4" borderId="2" numFmtId="165" xfId="1" applyNumberFormat="1" applyFont="1" applyFill="1" applyBorder="1"/>
    <xf fontId="0" fillId="0" borderId="2" numFmtId="9" xfId="3" applyNumberFormat="1" applyBorder="1"/>
    <xf fontId="6" fillId="0" borderId="2" numFmtId="165" xfId="2" applyNumberFormat="1" applyFont="1" applyBorder="1" quotePrefix="1"/>
    <xf fontId="5" fillId="0" borderId="0" numFmtId="165" xfId="2" applyNumberFormat="1" applyFont="1"/>
    <xf fontId="1" fillId="4" borderId="1" numFmtId="164" xfId="1" applyNumberFormat="1" applyFont="1" applyFill="1" applyBorder="1"/>
    <xf fontId="6" fillId="4" borderId="2" numFmtId="165" xfId="2" applyNumberFormat="1" applyFont="1" applyFill="1" applyBorder="1"/>
    <xf fontId="6" fillId="4" borderId="2" numFmtId="164" xfId="2" applyNumberFormat="1" applyFont="1" applyFill="1" applyBorder="1"/>
  </cellXfs>
  <cellStyles count="4">
    <cellStyle name="Calculation" xfId="1" builtinId="22"/>
    <cellStyle name="Comma 2" xfId="2"/>
    <cellStyle name="Normal" xfId="0" builtinId="0"/>
    <cellStyle name="Per 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2</xdr:row>
      <xdr:rowOff>0</xdr:rowOff>
    </xdr:from>
    <xdr:to>
      <xdr:col>5</xdr:col>
      <xdr:colOff>104775</xdr:colOff>
      <xdr:row>12</xdr:row>
      <xdr:rowOff>104775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400050"/>
          <a:ext cx="6153149" cy="2105025"/>
        </a:xfrm>
        <a:prstGeom prst="rect">
          <a:avLst/>
        </a:prstGeom>
      </xdr:spPr>
    </xdr:pic>
    <xdr:clientData/>
  </xdr:twoCellAnchor>
  <xdr:twoCellAnchor editAs="oneCell">
    <xdr:from>
      <xdr:col>6</xdr:col>
      <xdr:colOff>1057275</xdr:colOff>
      <xdr:row>2</xdr:row>
      <xdr:rowOff>0</xdr:rowOff>
    </xdr:from>
    <xdr:to>
      <xdr:col>9</xdr:col>
      <xdr:colOff>685800</xdr:colOff>
      <xdr:row>10</xdr:row>
      <xdr:rowOff>114300</xdr:rowOff>
    </xdr:to>
    <xdr:pic>
      <xdr:nvPicPr>
        <xdr:cNvPr id="4" name="Picture 3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8172450" y="40005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13</xdr:col>
      <xdr:colOff>200025</xdr:colOff>
      <xdr:row>12</xdr:row>
      <xdr:rowOff>38100</xdr:rowOff>
    </xdr:to>
    <xdr:pic>
      <xdr:nvPicPr>
        <xdr:cNvPr id="5" name="Picture 4"/>
        <xdr:cNvPicPr>
          <a:picLocks noChangeAspect="1"/>
        </xdr:cNvPicPr>
      </xdr:nvPicPr>
      <xdr:blipFill rotWithShape="1">
        <a:blip r:embed="rId3"/>
        <a:stretch/>
      </xdr:blipFill>
      <xdr:spPr bwMode="auto">
        <a:xfrm>
          <a:off x="11991975" y="400050"/>
          <a:ext cx="4572000" cy="2038349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20" workbookViewId="0">
      <selection activeCell="A1" activeCellId="0" sqref="A1"/>
    </sheetView>
  </sheetViews>
  <sheetFormatPr defaultColWidth="14" defaultRowHeight="16.5"/>
  <cols>
    <col customWidth="1" min="1" max="1" style="1" width="23.375"/>
    <col min="2" max="6" style="1" width="14"/>
    <col customWidth="1" min="7" max="7" style="1" width="10.625"/>
    <col customWidth="1" min="8" max="8" style="1" width="22"/>
    <col min="9" max="9" style="1" width="14"/>
    <col customWidth="1" min="10" max="10" style="1" width="20.625"/>
    <col customWidth="1" min="11" max="11" style="1" width="29.375"/>
    <col min="12" max="16384" style="1" width="14"/>
  </cols>
  <sheetData>
    <row r="1">
      <c r="A1" s="2" t="s">
        <v>0</v>
      </c>
      <c r="H1" s="2" t="s">
        <v>1</v>
      </c>
      <c r="K1" s="3" t="s">
        <v>2</v>
      </c>
    </row>
    <row r="14">
      <c r="K14" s="4" t="s">
        <v>3</v>
      </c>
    </row>
    <row r="15">
      <c r="A15" s="5"/>
      <c r="B15" s="6" t="s">
        <v>4</v>
      </c>
      <c r="C15" s="6" t="s">
        <v>5</v>
      </c>
      <c r="D15" s="6" t="s">
        <v>6</v>
      </c>
      <c r="E15" s="6" t="s">
        <v>7</v>
      </c>
      <c r="F15" s="6" t="s">
        <v>8</v>
      </c>
      <c r="H15" s="5" t="s">
        <v>9</v>
      </c>
      <c r="I15" s="5">
        <v>100</v>
      </c>
      <c r="K15" s="5"/>
      <c r="L15" s="7" t="s">
        <v>10</v>
      </c>
      <c r="M15" s="7" t="s">
        <v>4</v>
      </c>
    </row>
    <row r="16">
      <c r="A16" s="5" t="s">
        <v>11</v>
      </c>
      <c r="B16" s="5">
        <v>21</v>
      </c>
      <c r="C16" s="5">
        <v>22</v>
      </c>
      <c r="D16" s="5">
        <v>24</v>
      </c>
      <c r="E16" s="5">
        <v>24</v>
      </c>
      <c r="F16" s="5">
        <v>24</v>
      </c>
      <c r="H16" s="5" t="s">
        <v>12</v>
      </c>
      <c r="I16" s="5">
        <v>40</v>
      </c>
      <c r="K16" s="5" t="s">
        <v>13</v>
      </c>
      <c r="L16" s="5">
        <v>500000</v>
      </c>
      <c r="M16" s="5">
        <v>500000</v>
      </c>
    </row>
    <row r="17">
      <c r="A17" s="5" t="s">
        <v>14</v>
      </c>
      <c r="B17" s="5">
        <v>5</v>
      </c>
      <c r="C17" s="5">
        <v>7</v>
      </c>
      <c r="D17" s="5">
        <v>10</v>
      </c>
      <c r="E17" s="5">
        <v>12</v>
      </c>
      <c r="F17" s="5">
        <v>13</v>
      </c>
      <c r="H17" s="5" t="s">
        <v>15</v>
      </c>
      <c r="I17" s="5">
        <v>15</v>
      </c>
      <c r="K17" s="8" t="s">
        <v>16</v>
      </c>
      <c r="L17" s="5">
        <v>200000</v>
      </c>
      <c r="M17" s="5">
        <v>200000</v>
      </c>
    </row>
    <row r="18" ht="33">
      <c r="A18" s="5" t="s">
        <v>17</v>
      </c>
      <c r="B18" s="5">
        <v>18</v>
      </c>
      <c r="C18" s="5">
        <v>22</v>
      </c>
      <c r="D18" s="5">
        <v>24</v>
      </c>
      <c r="E18" s="5">
        <v>25</v>
      </c>
      <c r="F18" s="5">
        <v>30</v>
      </c>
      <c r="H18" s="5" t="s">
        <v>18</v>
      </c>
      <c r="I18" s="5">
        <v>30</v>
      </c>
      <c r="K18" s="9" t="s">
        <v>19</v>
      </c>
      <c r="L18" s="5">
        <v>100000</v>
      </c>
      <c r="M18" s="5">
        <v>100000</v>
      </c>
    </row>
    <row r="19" ht="28.5">
      <c r="A19" s="10" t="s">
        <v>20</v>
      </c>
      <c r="B19" s="11">
        <f>B16+B17-B18</f>
        <v>8</v>
      </c>
      <c r="C19" s="11">
        <f>C16+C17-C18</f>
        <v>7</v>
      </c>
      <c r="D19" s="11">
        <f>D16+D17-D18</f>
        <v>10</v>
      </c>
      <c r="E19" s="11">
        <f>E16+E17-E18</f>
        <v>11</v>
      </c>
      <c r="F19" s="11">
        <f>F16+F17-F18</f>
        <v>7</v>
      </c>
      <c r="H19" s="5" t="s">
        <v>21</v>
      </c>
      <c r="I19" s="5">
        <v>5</v>
      </c>
      <c r="K19" s="5" t="s">
        <v>15</v>
      </c>
      <c r="L19" s="5">
        <v>0</v>
      </c>
      <c r="M19" s="5">
        <v>50000</v>
      </c>
    </row>
    <row r="20">
      <c r="A20" s="6" t="s">
        <v>22</v>
      </c>
      <c r="B20" s="11">
        <v>8</v>
      </c>
      <c r="C20" s="11">
        <f>C19-B19</f>
        <v>-1</v>
      </c>
      <c r="D20" s="11">
        <f>D19-C19</f>
        <v>3</v>
      </c>
      <c r="E20" s="11">
        <f>E19-D19</f>
        <v>1</v>
      </c>
      <c r="F20" s="11">
        <f>F19-E19</f>
        <v>-4</v>
      </c>
      <c r="H20" s="5" t="s">
        <v>23</v>
      </c>
      <c r="I20" s="12">
        <v>0.34999999999999998</v>
      </c>
      <c r="K20" s="13" t="s">
        <v>9</v>
      </c>
      <c r="L20" s="7">
        <f>L16-L17-L18-L19</f>
        <v>200000</v>
      </c>
      <c r="M20" s="7">
        <f>M16-M17-M18-M19</f>
        <v>150000</v>
      </c>
    </row>
    <row r="21">
      <c r="A21" s="6" t="s">
        <v>24</v>
      </c>
      <c r="B21" s="11">
        <v>-8</v>
      </c>
      <c r="C21" s="11">
        <v>1</v>
      </c>
      <c r="D21" s="11">
        <v>-3</v>
      </c>
      <c r="E21" s="11">
        <v>1</v>
      </c>
      <c r="F21" s="11">
        <v>-4</v>
      </c>
      <c r="H21" s="1" t="s">
        <v>25</v>
      </c>
      <c r="K21" s="7" t="s">
        <v>26</v>
      </c>
      <c r="L21" s="7">
        <f>L20*(1-0.3)</f>
        <v>140000</v>
      </c>
      <c r="M21" s="7">
        <f>M20*(1-0.3)</f>
        <v>105000</v>
      </c>
    </row>
    <row r="22">
      <c r="K22" s="8" t="s">
        <v>27</v>
      </c>
      <c r="L22" s="5">
        <v>0</v>
      </c>
      <c r="M22" s="5">
        <v>50000</v>
      </c>
    </row>
    <row r="23">
      <c r="H23" s="14" t="s">
        <v>28</v>
      </c>
      <c r="I23" s="15">
        <f>I15-I16-I17-I18</f>
        <v>15</v>
      </c>
      <c r="K23" s="8" t="s">
        <v>29</v>
      </c>
      <c r="L23" s="5">
        <v>500000</v>
      </c>
      <c r="M23" s="5">
        <v>0</v>
      </c>
    </row>
    <row r="24">
      <c r="H24" s="14" t="s">
        <v>30</v>
      </c>
      <c r="I24" s="15">
        <f>I15*(1-I20)+I17-I18-I19</f>
        <v>45</v>
      </c>
      <c r="K24" s="8" t="s">
        <v>31</v>
      </c>
      <c r="L24" s="5">
        <v>0</v>
      </c>
      <c r="M24" s="5">
        <v>0</v>
      </c>
    </row>
    <row r="25">
      <c r="K25" s="13" t="s">
        <v>32</v>
      </c>
      <c r="L25" s="16">
        <f>L21-L23</f>
        <v>-360000</v>
      </c>
      <c r="M25" s="16">
        <f>M21+M22</f>
        <v>155000</v>
      </c>
    </row>
    <row r="28">
      <c r="K28" s="4" t="s">
        <v>33</v>
      </c>
    </row>
    <row r="29">
      <c r="K29" s="5"/>
      <c r="L29" s="7" t="s">
        <v>10</v>
      </c>
    </row>
    <row r="30">
      <c r="K30" s="5" t="s">
        <v>34</v>
      </c>
      <c r="L30" s="5">
        <v>1500000</v>
      </c>
    </row>
    <row r="31">
      <c r="K31" s="5" t="s">
        <v>35</v>
      </c>
      <c r="L31" s="5">
        <v>500000</v>
      </c>
    </row>
    <row r="32">
      <c r="K32" s="5" t="s">
        <v>36</v>
      </c>
      <c r="L32" s="5">
        <v>-50000</v>
      </c>
    </row>
    <row r="33">
      <c r="K33" s="7" t="s">
        <v>37</v>
      </c>
      <c r="L33" s="7">
        <f>SUM(L30:L32)</f>
        <v>1950000</v>
      </c>
    </row>
    <row r="34">
      <c r="K34" s="5" t="s">
        <v>38</v>
      </c>
      <c r="L34" s="5">
        <v>500000</v>
      </c>
    </row>
    <row r="35">
      <c r="K35" s="7" t="s">
        <v>39</v>
      </c>
      <c r="L35" s="17">
        <f>L33/L34</f>
        <v>3.8999999999999999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2B752A7F7B045A654E76EE94D2D3A" ma:contentTypeVersion="3" ma:contentTypeDescription="Create a new document." ma:contentTypeScope="" ma:versionID="4215b9e704be5d161ba1aad4d49aca4d">
  <xsd:schema xmlns:xsd="http://www.w3.org/2001/XMLSchema" xmlns:xs="http://www.w3.org/2001/XMLSchema" xmlns:p="http://schemas.microsoft.com/office/2006/metadata/properties" xmlns:ns2="fae806f6-f023-46bd-a0b6-7a3e9b23c51c" targetNamespace="http://schemas.microsoft.com/office/2006/metadata/properties" ma:root="true" ma:fieldsID="a5b5da177a5f3fa3ffbc571da91d5252" ns2:_="">
    <xsd:import namespace="fae806f6-f023-46bd-a0b6-7a3e9b23c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806f6-f023-46bd-a0b6-7a3e9b23c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fd6aa431-d945-4397-a8a5-504211fe2507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e806f6-f023-46bd-a0b6-7a3e9b23c5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a92a6098-ec84-4fbb-8c46-451ad26d0a02">
  <ds:schemaRefs>
    <ds:schemaRef ds:uri="http://schemas.microsoft.com/office/2006/metadata/properties"/>
    <ds:schemaRef ds:uri="http://www.w3.org/2001/XMLSchema-instan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6beae006-d61c-424a-84ae-f99483629fe9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Phuc Nguyen</dc:creator>
  <cp:keywords/>
  <dc:description/>
  <cp:revision>3</cp:revision>
  <dcterms:created xsi:type="dcterms:W3CDTF">2023-12-03T03:50:31Z</dcterms:created>
  <dcterms:modified xsi:type="dcterms:W3CDTF">2026-04-01T05:21:00Z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0x010100F202B752A7F7B045A654E76EE94D2D3A</vt:lpwstr>
  </property>
  <property fmtid="{D5CDD505-2E9C-101B-9397-08002B2CF9AE}" pid="3" name="MediaServiceImageTags">
    <vt:lpwstr/>
  </property>
  <property fmtid="{D5CDD505-2E9C-101B-9397-08002B2CF9AE}" pid="4" name="Order">
    <vt:r8>3800.000000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