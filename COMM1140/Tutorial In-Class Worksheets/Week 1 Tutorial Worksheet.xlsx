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3"/>
  </bookViews>
  <sheets>
    <sheet name="P1.4" sheetId="1" state="visible" r:id="rId3"/>
    <sheet name="P1.7" sheetId="2" state="visible" r:id="rId4"/>
    <sheet name="JB Hi Fi Tutorial Activity" sheetId="3" state="visible" r:id="rId5"/>
    <sheet name="Video In-Class Activit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<sst xmlns="http://schemas.openxmlformats.org/spreadsheetml/2006/main" count="134" uniqueCount="92">
  <si>
    <t xml:space="preserve">Problem 1.4</t>
  </si>
  <si>
    <t xml:space="preserve">Financial Year</t>
  </si>
  <si>
    <t xml:space="preserve">1.7.2021 - 30.6.2022</t>
  </si>
  <si>
    <t xml:space="preserve">Note: If a transaction does not involve any revenue or expenses, leave the account name and amount fields blank</t>
  </si>
  <si>
    <t xml:space="preserve">Transaction</t>
  </si>
  <si>
    <t xml:space="preserve">Revenues</t>
  </si>
  <si>
    <t xml:space="preserve">Expenses</t>
  </si>
  <si>
    <t xml:space="preserve">Account Name</t>
  </si>
  <si>
    <t xml:space="preserve">Amount ($)</t>
  </si>
  <si>
    <t xml:space="preserve">Not revenue</t>
  </si>
  <si>
    <t xml:space="preserve">Not expense</t>
  </si>
  <si>
    <t xml:space="preserve">Interest expense</t>
  </si>
  <si>
    <t xml:space="preserve">Wages expense</t>
  </si>
  <si>
    <t xml:space="preserve">Depreciation expense</t>
  </si>
  <si>
    <t xml:space="preserve">Other expenses</t>
  </si>
  <si>
    <t xml:space="preserve">Service revenue</t>
  </si>
  <si>
    <t xml:space="preserve">Total</t>
  </si>
  <si>
    <t xml:space="preserve">Profit</t>
  </si>
  <si>
    <t xml:space="preserve">Problem 1.7</t>
  </si>
  <si>
    <t xml:space="preserve">$</t>
  </si>
  <si>
    <t xml:space="preserve">Part 1</t>
  </si>
  <si>
    <t xml:space="preserve">Sales Revenue </t>
  </si>
  <si>
    <t xml:space="preserve">100000+200000</t>
  </si>
  <si>
    <t xml:space="preserve">Part 2</t>
  </si>
  <si>
    <t xml:space="preserve">Total Expenses</t>
  </si>
  <si>
    <t xml:space="preserve">60000 – 5000 + 10000</t>
  </si>
  <si>
    <t xml:space="preserve">Part 3</t>
  </si>
  <si>
    <t xml:space="preserve">Accounting Profit</t>
  </si>
  <si>
    <t xml:space="preserve">Note: if there is no revenue or expense to be recorded on particular date, then leave the account name and amount blank</t>
  </si>
  <si>
    <t xml:space="preserve">Part a. </t>
  </si>
  <si>
    <t xml:space="preserve">Accrual basis</t>
  </si>
  <si>
    <t xml:space="preserve">Date</t>
  </si>
  <si>
    <t xml:space="preserve">October 1st</t>
  </si>
  <si>
    <t xml:space="preserve">Rent expense</t>
  </si>
  <si>
    <t xml:space="preserve">In October, the rent price is 1/12 of the whole year</t>
  </si>
  <si>
    <t xml:space="preserve">October 13th</t>
  </si>
  <si>
    <t xml:space="preserve">Sales revenue</t>
  </si>
  <si>
    <t xml:space="preserve">All of owed money is counted</t>
  </si>
  <si>
    <t xml:space="preserve">October 25th</t>
  </si>
  <si>
    <t xml:space="preserve">Advertising expense</t>
  </si>
  <si>
    <t xml:space="preserve">Service is not received until November</t>
  </si>
  <si>
    <t xml:space="preserve">October 26th</t>
  </si>
  <si>
    <t xml:space="preserve">-</t>
  </si>
  <si>
    <t xml:space="preserve">October 30th</t>
  </si>
  <si>
    <t xml:space="preserve">October 31st</t>
  </si>
  <si>
    <t xml:space="preserve">Utility expense</t>
  </si>
  <si>
    <t xml:space="preserve">Accrual profit</t>
  </si>
  <si>
    <t xml:space="preserve">Part b.</t>
  </si>
  <si>
    <t xml:space="preserve">Cash basis</t>
  </si>
  <si>
    <t xml:space="preserve">The entire cash sum is accounted for</t>
  </si>
  <si>
    <t xml:space="preserve">Only received cash is counted</t>
  </si>
  <si>
    <t xml:space="preserve">Remaining owed money counted</t>
  </si>
  <si>
    <t xml:space="preserve">Not paid until November</t>
  </si>
  <si>
    <t xml:space="preserve">Cash Profit</t>
  </si>
  <si>
    <t xml:space="preserve">Tutor Instructions</t>
  </si>
  <si>
    <t xml:space="preserve">Divide students into groups of 3-4 and allocate each group one of the examples. If you don't get time to discuss all solutions, tell students they can check with the solutions file is released on Moodle on Friday evening.</t>
  </si>
  <si>
    <t xml:space="preserve">Select the appropriate skillset by clicking on the dropdown box below:</t>
  </si>
  <si>
    <t xml:space="preserve">Example One</t>
  </si>
  <si>
    <t xml:space="preserve">Decisions to be made</t>
  </si>
  <si>
    <t xml:space="preserve">Expanation</t>
  </si>
  <si>
    <t xml:space="preserve">Skillset</t>
  </si>
  <si>
    <t xml:space="preserve">Explanation</t>
  </si>
  <si>
    <t xml:space="preserve">JB Hi-Fi is considering expanding its operations by opening a new store in a different city. The manager needs to assess the feasibility and potential profitability of this expansion.
</t>
  </si>
  <si>
    <t xml:space="preserve">Financial Analysis</t>
  </si>
  <si>
    <t xml:space="preserve">Analyze historical financial data, such as revenue, expenses, and profit margins, to determine the company's overall financial health and performance. They can identify trends and patterns that provide insights into the company's ability to support a new store.</t>
  </si>
  <si>
    <t xml:space="preserve">Accounting</t>
  </si>
  <si>
    <t xml:space="preserve">Budgeting</t>
  </si>
  <si>
    <t xml:space="preserve">The manager can budget future revenues, expenses, and cash flows associated with the new store.</t>
  </si>
  <si>
    <t xml:space="preserve">How to source money to fund the development</t>
  </si>
  <si>
    <t xml:space="preserve">Evaluate various funding sources, such as internal funds, bank loans, or external equity (from shareholders), to determine the most appropriate and cost-effective way to finance the new store's establishment.</t>
  </si>
  <si>
    <t xml:space="preserve">Finance</t>
  </si>
  <si>
    <t xml:space="preserve">Product pricing</t>
  </si>
  <si>
    <t xml:space="preserve">Analyze pricing strategies for products in the new store, considering factors such as local market conditions, competition, cost structures, and desired profit margins.</t>
  </si>
  <si>
    <t xml:space="preserve">Inventory management</t>
  </si>
  <si>
    <t xml:space="preserve">Develop inventory management policies for the new store, including determining optimal inventory levels, reorder points, and replenishment schedules to ensure efficient stock control.</t>
  </si>
  <si>
    <t xml:space="preserve">Tax structure analysis</t>
  </si>
  <si>
    <t xml:space="preserve">Evaluate the most tax-efficient legal and organizational structure for the new store, considering factors like income tax rates, liability protection, and compliance requirements.</t>
  </si>
  <si>
    <t xml:space="preserve">Tax</t>
  </si>
  <si>
    <t xml:space="preserve">Example Two</t>
  </si>
  <si>
    <t xml:space="preserve">Decision to be made</t>
  </si>
  <si>
    <t xml:space="preserve">Apple is considering developing a new product that requires a substantial investment in research and development (R&amp;D).</t>
  </si>
  <si>
    <t xml:space="preserve">Pricing Strategy</t>
  </si>
  <si>
    <t xml:space="preserve">Collaborate with marketing and sales teams to develop a pricing strategy for the new product, considering its development costs, competitive pricing, target market, and desired profit margins.</t>
  </si>
  <si>
    <t xml:space="preserve">Break-Even Analysis</t>
  </si>
  <si>
    <t xml:space="preserve">Utilize break-even analysis to determine the level of sales required for the new product to cover its total costs, helping set sales targets and assessing its commercial viability.</t>
  </si>
  <si>
    <t xml:space="preserve">Work with sales and marketing teams to develop accurate sales and revenue forecasts for the new product, and associated expenses. </t>
  </si>
  <si>
    <t xml:space="preserve">Resource allocation</t>
  </si>
  <si>
    <t xml:space="preserve">Determine the optimal allocation of financial resources to the R&amp;D project, ensuring that the company's overall financial strategy is aligned with its innovation goals.</t>
  </si>
  <si>
    <t xml:space="preserve">R&amp;D Tax Incentives</t>
  </si>
  <si>
    <t xml:space="preserve">Evaluate available research and development (R&amp;D) tax incentives or credits offered by the government to offset a portion of the R&amp;D expenses, maximizing potential tax savings.</t>
  </si>
  <si>
    <t xml:space="preserve">Scenario Analysis</t>
  </si>
  <si>
    <t xml:space="preserve">Develop financial models to simulate different scenarios and outcomes for the R&amp;D project, aiding in decision-making and risk assessment.</t>
  </si>
</sst>
</file>

<file path=xl/styles.xml><?xml version="1.0" encoding="utf-8"?>
<styleSheet xmlns="http://schemas.openxmlformats.org/spreadsheetml/2006/main">
  <numFmts count="6">
    <numFmt numFmtId="164" formatCode="General"/>
    <numFmt numFmtId="165" formatCode="_-* #,##0.00_-;\-* #,##0.00_-;_-* \-??_-;_-@_-"/>
    <numFmt numFmtId="166" formatCode="_(* #,##0.00_);_(* \(#,##0.00\);_(* \-??_);_(@_)"/>
    <numFmt numFmtId="167" formatCode="_(* #,##0_);_(* \(#,##0\);_(* \-??_);_(@_)"/>
    <numFmt numFmtId="168" formatCode="[$$-C09]#,##0;[RED]\-[$$-C09]#,##0"/>
    <numFmt numFmtId="169" formatCode="_(* #,##0.0_);_(* \(#,##0.0\);_(* \-??_);_(@_)"/>
  </numFmts>
  <fonts count="13">
    <font>
      <sz val="12"/>
      <color theme="1"/>
      <name val="Calibri"/>
      <family val="2"/>
      <charset val="1"/>
    </font>
    <font>
      <sz val="10"/>
      <name val="Arial"/>
      <family val="0"/>
    </font>
    <font>
      <sz val="10"/>
      <name val="Arial"/>
      <family val="0"/>
    </font>
    <font>
      <sz val="10"/>
      <name val="Arial"/>
      <family val="0"/>
    </font>
    <font>
      <sz val="11"/>
      <color theme="1"/>
      <name val="Calibri"/>
      <family val="2"/>
      <charset val="1"/>
    </font>
    <font>
      <b val="true"/>
      <sz val="12"/>
      <color rgb="FFFF0000"/>
      <name val="Calibri"/>
      <family val="2"/>
      <charset val="1"/>
    </font>
    <font>
      <b val="true"/>
      <sz val="12"/>
      <color theme="1"/>
      <name val="Calibri"/>
      <family val="2"/>
      <charset val="1"/>
    </font>
    <font>
      <sz val="12"/>
      <color rgb="FF3F3F76"/>
      <name val="Calibri"/>
      <family val="2"/>
      <charset val="1"/>
    </font>
    <font>
      <sz val="12"/>
      <color rgb="FF000000"/>
      <name val="Calibri"/>
      <family val="2"/>
      <charset val="1"/>
    </font>
    <font>
      <b val="true"/>
      <sz val="11"/>
      <color rgb="FFFF0000"/>
      <name val="Calibri"/>
      <family val="2"/>
      <charset val="1"/>
    </font>
    <font>
      <b val="true"/>
      <sz val="11"/>
      <color theme="1"/>
      <name val="Calibri"/>
      <family val="2"/>
      <charset val="1"/>
    </font>
    <font>
      <sz val="11"/>
      <color rgb="FFFF0000"/>
      <name val="Calibri"/>
      <family val="2"/>
      <charset val="1"/>
    </font>
    <font>
      <sz val="11"/>
      <color rgb="FF000000"/>
      <name val="Calibri"/>
      <family val="2"/>
      <charset val="1"/>
    </font>
  </fonts>
  <fills count="5">
    <fill>
      <patternFill patternType="none"/>
    </fill>
    <fill>
      <patternFill patternType="gray125"/>
    </fill>
    <fill>
      <patternFill patternType="solid">
        <fgColor rgb="FFFFCC99"/>
        <bgColor rgb="FFFBE5D6"/>
      </patternFill>
    </fill>
    <fill>
      <patternFill patternType="solid">
        <fgColor rgb="FFFFFF00"/>
        <bgColor rgb="FFFFFF00"/>
      </patternFill>
    </fill>
    <fill>
      <patternFill patternType="solid">
        <fgColor theme="5" tint="0.7999"/>
        <bgColor rgb="FFFFFFFF"/>
      </patternFill>
    </fill>
  </fills>
  <borders count="3">
    <border diagonalUp="false" diagonalDown="false">
      <left/>
      <right/>
      <top/>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style="thin"/>
      <right style="thin"/>
      <top style="thin"/>
      <bottom style="thin"/>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7" fillId="2" borderId="1" applyFont="true" applyBorder="true" applyAlignment="true" applyProtection="false">
      <alignment horizontal="general" vertical="bottom" textRotation="0" wrapText="false" indent="0" shrinkToFit="false"/>
    </xf>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15" applyFont="true" applyBorder="true" applyAlignment="true" applyProtection="true">
      <alignment horizontal="general" vertical="bottom" textRotation="0" wrapText="false" indent="0" shrinkToFit="false"/>
      <protection locked="true" hidden="false"/>
    </xf>
    <xf numFmtId="167" fontId="5" fillId="3" borderId="0" xfId="15" applyFont="true" applyBorder="true" applyAlignment="true" applyProtection="true">
      <alignment horizontal="general" vertical="bottom" textRotation="0" wrapText="false" indent="0" shrinkToFit="false"/>
      <protection locked="true" hidden="false"/>
    </xf>
    <xf numFmtId="167" fontId="6" fillId="0" borderId="0" xfId="15" applyFont="true" applyBorder="true" applyAlignment="true" applyProtection="true">
      <alignment horizontal="general" vertical="bottom" textRotation="0" wrapText="false" indent="0" shrinkToFit="false"/>
      <protection locked="true" hidden="false"/>
    </xf>
    <xf numFmtId="167" fontId="6" fillId="0" borderId="2" xfId="15" applyFont="true" applyBorder="true" applyAlignment="true" applyProtection="true">
      <alignment horizontal="center" vertical="center" textRotation="0" wrapText="false" indent="0" shrinkToFit="false"/>
      <protection locked="true" hidden="false"/>
    </xf>
    <xf numFmtId="167" fontId="6" fillId="0" borderId="2" xfId="15" applyFont="true" applyBorder="true" applyAlignment="true" applyProtection="true">
      <alignment horizontal="center" vertical="bottom" textRotation="0" wrapText="false" indent="0" shrinkToFit="false"/>
      <protection locked="true" hidden="false"/>
    </xf>
    <xf numFmtId="167" fontId="6" fillId="0" borderId="2" xfId="15" applyFont="true" applyBorder="true" applyAlignment="true" applyProtection="true">
      <alignment horizontal="general" vertical="bottom" textRotation="0" wrapText="false" indent="0" shrinkToFit="false"/>
      <protection locked="true" hidden="false"/>
    </xf>
    <xf numFmtId="167" fontId="0" fillId="0" borderId="2" xfId="15" applyFont="true" applyBorder="true" applyAlignment="true" applyProtection="true">
      <alignment horizontal="general" vertical="bottom" textRotation="0" wrapText="false" indent="0" shrinkToFit="false"/>
      <protection locked="true" hidden="false"/>
    </xf>
    <xf numFmtId="167" fontId="6" fillId="3" borderId="2" xfId="15" applyFont="true" applyBorder="true" applyAlignment="true" applyProtection="true">
      <alignment horizontal="general" vertical="bottom" textRotation="0" wrapText="false" indent="0" shrinkToFit="false"/>
      <protection locked="true" hidden="false"/>
    </xf>
    <xf numFmtId="167" fontId="5" fillId="3" borderId="2" xfId="15" applyFont="true" applyBorder="true" applyAlignment="true" applyProtection="true">
      <alignment horizontal="left" vertical="bottom" textRotation="0" wrapText="false" indent="0" shrinkToFit="false"/>
      <protection locked="true" hidden="false"/>
    </xf>
    <xf numFmtId="167" fontId="7" fillId="2" borderId="1" xfId="23" applyFont="true" applyBorder="true" applyAlignment="true" applyProtection="true">
      <alignment horizontal="general" vertical="bottom" textRotation="0" wrapText="false" indent="0" shrinkToFit="false"/>
      <protection locked="true" hidden="false"/>
    </xf>
    <xf numFmtId="167" fontId="8" fillId="0" borderId="0" xfId="15" applyFont="true" applyBorder="true" applyAlignment="true" applyProtection="true">
      <alignment horizontal="general" vertical="bottom" textRotation="0" wrapText="false" indent="0" shrinkToFit="false"/>
      <protection locked="true" hidden="false"/>
    </xf>
    <xf numFmtId="164" fontId="4" fillId="0" borderId="0" xfId="22" applyFont="true" applyBorder="false" applyAlignment="true" applyProtection="true">
      <alignment horizontal="general" vertical="bottom" textRotation="0" wrapText="false" indent="0" shrinkToFit="false"/>
      <protection locked="true" hidden="false"/>
    </xf>
    <xf numFmtId="167" fontId="6" fillId="0" borderId="0" xfId="20" applyFont="true" applyBorder="true" applyAlignment="true" applyProtection="true">
      <alignment horizontal="general" vertical="bottom" textRotation="0" wrapText="false" indent="0" shrinkToFit="false"/>
      <protection locked="true" hidden="false"/>
    </xf>
    <xf numFmtId="167" fontId="0" fillId="0" borderId="0" xfId="20" applyFont="true" applyBorder="true" applyAlignment="true" applyProtection="true">
      <alignment horizontal="general" vertical="bottom" textRotation="0" wrapText="false" indent="0" shrinkToFit="false"/>
      <protection locked="true" hidden="false"/>
    </xf>
    <xf numFmtId="167" fontId="5" fillId="3" borderId="0" xfId="20" applyFont="true" applyBorder="true" applyAlignment="true" applyProtection="true">
      <alignment horizontal="general" vertical="bottom" textRotation="0" wrapText="false" indent="0" shrinkToFit="false"/>
      <protection locked="true" hidden="false"/>
    </xf>
    <xf numFmtId="167" fontId="6" fillId="0" borderId="2" xfId="20" applyFont="true" applyBorder="true" applyAlignment="true" applyProtection="true">
      <alignment horizontal="center" vertical="bottom" textRotation="0" wrapText="false" indent="0" shrinkToFit="false"/>
      <protection locked="true" hidden="false"/>
    </xf>
    <xf numFmtId="167" fontId="6" fillId="0" borderId="2" xfId="20" applyFont="true" applyBorder="true" applyAlignment="true" applyProtection="true">
      <alignment horizontal="general" vertical="bottom" textRotation="0" wrapText="false" indent="0" shrinkToFit="false"/>
      <protection locked="true" hidden="false"/>
    </xf>
    <xf numFmtId="167" fontId="0" fillId="0" borderId="2" xfId="20" applyFont="true" applyBorder="true" applyAlignment="true" applyProtection="true">
      <alignment horizontal="left" vertical="bottom" textRotation="0" wrapText="false" indent="0" shrinkToFit="false"/>
      <protection locked="true" hidden="false"/>
    </xf>
    <xf numFmtId="167" fontId="0" fillId="0" borderId="2" xfId="20" applyFont="true" applyBorder="true" applyAlignment="true" applyProtection="true">
      <alignment horizontal="general" vertical="bottom" textRotation="0" wrapText="false" indent="0" shrinkToFit="false"/>
      <protection locked="true" hidden="false"/>
    </xf>
    <xf numFmtId="168" fontId="0" fillId="0" borderId="2" xfId="20" applyFont="true" applyBorder="true" applyAlignment="true" applyProtection="true">
      <alignment horizontal="general" vertical="bottom" textRotation="0" wrapText="false" indent="0" shrinkToFit="false"/>
      <protection locked="true" hidden="false"/>
    </xf>
    <xf numFmtId="169" fontId="0" fillId="0" borderId="2" xfId="20" applyFont="true" applyBorder="true" applyAlignment="true" applyProtection="true">
      <alignment horizontal="left" vertical="bottom" textRotation="0" wrapText="false" indent="0" shrinkToFit="false"/>
      <protection locked="true" hidden="false"/>
    </xf>
    <xf numFmtId="167" fontId="6" fillId="3" borderId="2" xfId="20" applyFont="true" applyBorder="true" applyAlignment="true" applyProtection="true">
      <alignment horizontal="center" vertical="bottom" textRotation="0" wrapText="false" indent="0" shrinkToFit="false"/>
      <protection locked="true" hidden="false"/>
    </xf>
    <xf numFmtId="167" fontId="5" fillId="0" borderId="2" xfId="20" applyFont="true" applyBorder="true" applyAlignment="true" applyProtection="true">
      <alignment horizontal="general" vertical="bottom" textRotation="0" wrapText="false" indent="0" shrinkToFit="false"/>
      <protection locked="true" hidden="false"/>
    </xf>
    <xf numFmtId="167" fontId="5" fillId="3" borderId="2" xfId="20" applyFont="true" applyBorder="true" applyAlignment="true" applyProtection="true">
      <alignment horizontal="left"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21" applyFont="true" applyBorder="false" applyAlignment="true" applyProtection="true">
      <alignment horizontal="left" vertical="top" textRotation="0" wrapText="false" indent="0" shrinkToFit="false"/>
      <protection locked="true" hidden="false"/>
    </xf>
    <xf numFmtId="164" fontId="4" fillId="0" borderId="0" xfId="21" applyFont="true" applyBorder="false" applyAlignment="true" applyProtection="true">
      <alignment horizontal="left" vertical="top" textRotation="0" wrapText="true" indent="0" shrinkToFit="false"/>
      <protection locked="true" hidden="false"/>
    </xf>
    <xf numFmtId="167" fontId="6" fillId="3" borderId="0" xfId="15" applyFont="true" applyBorder="true" applyAlignment="true" applyProtection="true">
      <alignment horizontal="left" vertical="top" textRotation="0" wrapText="false" indent="0" shrinkToFit="false"/>
      <protection locked="true" hidden="false"/>
    </xf>
    <xf numFmtId="167" fontId="0" fillId="3" borderId="0" xfId="15" applyFont="true" applyBorder="true" applyAlignment="true" applyProtection="true">
      <alignment horizontal="left" vertical="top" textRotation="0" wrapText="false" indent="0" shrinkToFit="false"/>
      <protection locked="true" hidden="false"/>
    </xf>
    <xf numFmtId="167" fontId="0" fillId="0" borderId="0" xfId="15" applyFont="true" applyBorder="true" applyAlignment="true" applyProtection="true">
      <alignment horizontal="left" vertical="top" textRotation="0" wrapText="false" indent="0" shrinkToFit="false"/>
      <protection locked="true" hidden="false"/>
    </xf>
    <xf numFmtId="167" fontId="0" fillId="3" borderId="0" xfId="15" applyFont="true" applyBorder="true" applyAlignment="true" applyProtection="true">
      <alignment horizontal="left" vertical="top" textRotation="0" wrapText="true" indent="0" shrinkToFit="false"/>
      <protection locked="true" hidden="false"/>
    </xf>
    <xf numFmtId="164" fontId="9" fillId="0" borderId="0" xfId="21" applyFont="true" applyBorder="false" applyAlignment="true" applyProtection="true">
      <alignment horizontal="left" vertical="top" textRotation="0" wrapText="false" indent="0" shrinkToFit="false"/>
      <protection locked="true" hidden="false"/>
    </xf>
    <xf numFmtId="164" fontId="10" fillId="0" borderId="2" xfId="21" applyFont="true" applyBorder="true" applyAlignment="true" applyProtection="true">
      <alignment horizontal="left" vertical="top" textRotation="0" wrapText="false" indent="0" shrinkToFit="false"/>
      <protection locked="true" hidden="false"/>
    </xf>
    <xf numFmtId="164" fontId="10" fillId="0" borderId="2" xfId="21" applyFont="true" applyBorder="true" applyAlignment="true" applyProtection="true">
      <alignment horizontal="left" vertical="top" textRotation="0" wrapText="true" indent="0" shrinkToFit="false"/>
      <protection locked="true" hidden="false"/>
    </xf>
    <xf numFmtId="164" fontId="11" fillId="0" borderId="0" xfId="21" applyFont="true" applyBorder="false" applyAlignment="true" applyProtection="true">
      <alignment horizontal="left" vertical="top" textRotation="0" wrapText="true" indent="0" shrinkToFit="false"/>
      <protection locked="true" hidden="false"/>
    </xf>
    <xf numFmtId="164" fontId="4" fillId="0" borderId="2" xfId="21" applyFont="true" applyBorder="true" applyAlignment="true" applyProtection="true">
      <alignment horizontal="left" vertical="center" textRotation="0" wrapText="true" indent="0" shrinkToFit="false"/>
      <protection locked="true" hidden="false"/>
    </xf>
    <xf numFmtId="164" fontId="4" fillId="0" borderId="2" xfId="21" applyFont="true" applyBorder="true" applyAlignment="true" applyProtection="true">
      <alignment horizontal="left" vertical="top" textRotation="0" wrapText="true" indent="0" shrinkToFit="false"/>
      <protection locked="true" hidden="false"/>
    </xf>
    <xf numFmtId="164" fontId="7" fillId="4" borderId="1" xfId="23" applyFont="true" applyBorder="true" applyAlignment="true" applyProtection="true">
      <alignment horizontal="left" vertical="top" textRotation="0" wrapText="true" indent="0" shrinkToFit="false"/>
      <protection locked="true" hidden="false"/>
    </xf>
    <xf numFmtId="164" fontId="12" fillId="0" borderId="2" xfId="21" applyFont="true" applyBorder="true" applyAlignment="true" applyProtection="true">
      <alignment horizontal="left" vertical="top" textRotation="0" wrapText="true" indent="0" shrinkToFit="false"/>
      <protection locked="true" hidden="false"/>
    </xf>
    <xf numFmtId="164" fontId="10" fillId="0" borderId="0" xfId="21" applyFont="true" applyBorder="false" applyAlignment="true" applyProtection="true">
      <alignment horizontal="left" vertical="top"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 name="Normal 3" xfId="22"/>
    <cellStyle name="Excel Built-in Input" xfId="23"/>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BE5D6"/>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Relationship Id="rId8" Type="http://schemas.openxmlformats.org/officeDocument/2006/relationships/customXml" Target="../customXml/item3.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14</xdr:row>
      <xdr:rowOff>190440</xdr:rowOff>
    </xdr:from>
    <xdr:to>
      <xdr:col>7</xdr:col>
      <xdr:colOff>246960</xdr:colOff>
      <xdr:row>31</xdr:row>
      <xdr:rowOff>170640</xdr:rowOff>
    </xdr:to>
    <xdr:pic>
      <xdr:nvPicPr>
        <xdr:cNvPr id="1" name="Picture 1"/>
        <xdr:cNvPicPr/>
      </xdr:nvPicPr>
      <xdr:blipFill>
        <a:blip r:embed="rId1"/>
        <a:stretch/>
      </xdr:blipFill>
      <xdr:spPr>
        <a:xfrm>
          <a:off x="0" y="2990880"/>
          <a:ext cx="9187200" cy="33804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5</xdr:row>
      <xdr:rowOff>171360</xdr:rowOff>
    </xdr:from>
    <xdr:to>
      <xdr:col>7</xdr:col>
      <xdr:colOff>858600</xdr:colOff>
      <xdr:row>16</xdr:row>
      <xdr:rowOff>189720</xdr:rowOff>
    </xdr:to>
    <xdr:pic>
      <xdr:nvPicPr>
        <xdr:cNvPr id="2" name="Picture 1"/>
        <xdr:cNvPicPr/>
      </xdr:nvPicPr>
      <xdr:blipFill>
        <a:blip r:embed="rId1"/>
        <a:stretch/>
      </xdr:blipFill>
      <xdr:spPr>
        <a:xfrm>
          <a:off x="0" y="1171440"/>
          <a:ext cx="9685080" cy="2218680"/>
        </a:xfrm>
        <a:prstGeom prst="rect">
          <a:avLst/>
        </a:prstGeom>
        <a:noFill/>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9360</xdr:rowOff>
    </xdr:from>
    <xdr:to>
      <xdr:col>6</xdr:col>
      <xdr:colOff>3040560</xdr:colOff>
      <xdr:row>21</xdr:row>
      <xdr:rowOff>47160</xdr:rowOff>
    </xdr:to>
    <xdr:pic>
      <xdr:nvPicPr>
        <xdr:cNvPr id="3" name="Picture 1"/>
        <xdr:cNvPicPr/>
      </xdr:nvPicPr>
      <xdr:blipFill>
        <a:blip r:embed="rId1"/>
        <a:stretch/>
      </xdr:blipFill>
      <xdr:spPr>
        <a:xfrm>
          <a:off x="0" y="9360"/>
          <a:ext cx="9280080" cy="403848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72" zoomScaleNormal="172" zoomScalePageLayoutView="100" workbookViewId="0">
      <selection pane="topLeft" activeCell="C10" activeCellId="0" sqref="C10"/>
    </sheetView>
  </sheetViews>
  <sheetFormatPr defaultColWidth="10.875" defaultRowHeight="15.75" customHeight="false" zeroHeight="false" outlineLevelRow="0" outlineLevelCol="0"/>
  <cols>
    <col collapsed="false" customWidth="true" hidden="false" outlineLevel="0" max="1" min="1" style="1" width="16.5"/>
    <col collapsed="false" customWidth="true" hidden="false" outlineLevel="0" max="2" min="2" style="1" width="21.87"/>
    <col collapsed="false" customWidth="true" hidden="false" outlineLevel="0" max="3" min="3" style="1" width="11.62"/>
    <col collapsed="false" customWidth="true" hidden="false" outlineLevel="0" max="4" min="4" style="1" width="20.62"/>
    <col collapsed="false" customWidth="true" hidden="false" outlineLevel="0" max="5" min="5" style="1" width="13.5"/>
    <col collapsed="false" customWidth="false" hidden="false" outlineLevel="0" max="16384" min="6" style="1" width="10.87"/>
  </cols>
  <sheetData>
    <row r="1" customFormat="false" ht="15.75" hidden="false" customHeight="false" outlineLevel="0" collapsed="false">
      <c r="A1" s="2" t="s">
        <v>0</v>
      </c>
    </row>
    <row r="2" customFormat="false" ht="15.75" hidden="false" customHeight="false" outlineLevel="0" collapsed="false">
      <c r="A2" s="3" t="s">
        <v>1</v>
      </c>
      <c r="B2" s="3" t="s">
        <v>2</v>
      </c>
    </row>
    <row r="3" customFormat="false" ht="15.75" hidden="false" customHeight="false" outlineLevel="0" collapsed="false">
      <c r="A3" s="3" t="s">
        <v>3</v>
      </c>
    </row>
    <row r="4" customFormat="false" ht="15.75" hidden="false" customHeight="false" outlineLevel="0" collapsed="false">
      <c r="A4" s="3"/>
    </row>
    <row r="5" customFormat="false" ht="15.75" hidden="false" customHeight="false" outlineLevel="0" collapsed="false">
      <c r="A5" s="4" t="s">
        <v>4</v>
      </c>
      <c r="B5" s="5" t="s">
        <v>5</v>
      </c>
      <c r="C5" s="5"/>
      <c r="D5" s="5" t="s">
        <v>6</v>
      </c>
      <c r="E5" s="5"/>
    </row>
    <row r="6" customFormat="false" ht="15.75" hidden="false" customHeight="false" outlineLevel="0" collapsed="false">
      <c r="A6" s="4"/>
      <c r="B6" s="6" t="s">
        <v>7</v>
      </c>
      <c r="C6" s="6" t="s">
        <v>8</v>
      </c>
      <c r="D6" s="6" t="s">
        <v>7</v>
      </c>
      <c r="E6" s="6" t="s">
        <v>8</v>
      </c>
    </row>
    <row r="7" customFormat="false" ht="15.75" hidden="false" customHeight="false" outlineLevel="0" collapsed="false">
      <c r="A7" s="7" t="n">
        <v>1</v>
      </c>
      <c r="B7" s="7" t="s">
        <v>9</v>
      </c>
      <c r="C7" s="7"/>
      <c r="D7" s="7" t="s">
        <v>10</v>
      </c>
      <c r="E7" s="7"/>
    </row>
    <row r="8" customFormat="false" ht="15.75" hidden="false" customHeight="false" outlineLevel="0" collapsed="false">
      <c r="A8" s="7" t="n">
        <v>2</v>
      </c>
      <c r="B8" s="7"/>
      <c r="C8" s="7"/>
      <c r="D8" s="7" t="s">
        <v>11</v>
      </c>
      <c r="E8" s="7" t="n">
        <v>2000</v>
      </c>
    </row>
    <row r="9" customFormat="false" ht="15.75" hidden="false" customHeight="false" outlineLevel="0" collapsed="false">
      <c r="A9" s="7" t="n">
        <v>3</v>
      </c>
      <c r="B9" s="7"/>
      <c r="C9" s="7"/>
      <c r="D9" s="7" t="s">
        <v>12</v>
      </c>
      <c r="E9" s="7" t="n">
        <v>14400</v>
      </c>
    </row>
    <row r="10" customFormat="false" ht="15.75" hidden="false" customHeight="false" outlineLevel="0" collapsed="false">
      <c r="A10" s="7" t="n">
        <v>4</v>
      </c>
      <c r="B10" s="7"/>
      <c r="C10" s="7"/>
      <c r="D10" s="7" t="s">
        <v>13</v>
      </c>
      <c r="E10" s="7" t="n">
        <v>2000</v>
      </c>
    </row>
    <row r="11" customFormat="false" ht="15.75" hidden="false" customHeight="false" outlineLevel="0" collapsed="false">
      <c r="A11" s="7" t="n">
        <v>5</v>
      </c>
      <c r="B11" s="7"/>
      <c r="C11" s="7"/>
      <c r="D11" s="7" t="s">
        <v>14</v>
      </c>
      <c r="E11" s="7" t="n">
        <v>10000</v>
      </c>
    </row>
    <row r="12" customFormat="false" ht="15.75" hidden="false" customHeight="false" outlineLevel="0" collapsed="false">
      <c r="A12" s="7" t="n">
        <v>6</v>
      </c>
      <c r="B12" s="7" t="s">
        <v>15</v>
      </c>
      <c r="C12" s="7" t="n">
        <v>60000</v>
      </c>
      <c r="D12" s="7"/>
      <c r="E12" s="7"/>
    </row>
    <row r="13" customFormat="false" ht="15.75" hidden="false" customHeight="false" outlineLevel="0" collapsed="false">
      <c r="A13" s="6" t="s">
        <v>16</v>
      </c>
      <c r="B13" s="7"/>
      <c r="C13" s="8" t="n">
        <v>60000</v>
      </c>
      <c r="D13" s="7"/>
      <c r="E13" s="8" t="n">
        <v>28400</v>
      </c>
    </row>
    <row r="14" customFormat="false" ht="15.75" hidden="false" customHeight="false" outlineLevel="0" collapsed="false">
      <c r="A14" s="6" t="s">
        <v>17</v>
      </c>
      <c r="B14" s="9" t="n">
        <v>31600</v>
      </c>
      <c r="C14" s="9"/>
      <c r="D14" s="9"/>
      <c r="E14" s="9"/>
    </row>
  </sheetData>
  <mergeCells count="4">
    <mergeCell ref="A5:A6"/>
    <mergeCell ref="B5:C5"/>
    <mergeCell ref="D5:E5"/>
    <mergeCell ref="B14:E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72" zoomScaleNormal="172" zoomScalePageLayoutView="100" workbookViewId="0">
      <selection pane="topLeft" activeCell="C6" activeCellId="0" sqref="C6"/>
    </sheetView>
  </sheetViews>
  <sheetFormatPr defaultColWidth="10.875" defaultRowHeight="15.75" customHeight="false" zeroHeight="false" outlineLevelRow="0" outlineLevelCol="0"/>
  <cols>
    <col collapsed="false" customWidth="false" hidden="false" outlineLevel="0" max="1" min="1" style="1" width="10.87"/>
    <col collapsed="false" customWidth="true" hidden="false" outlineLevel="0" max="2" min="2" style="1" width="20.38"/>
    <col collapsed="false" customWidth="false" hidden="false" outlineLevel="0" max="3" min="3" style="1" width="10.87"/>
    <col collapsed="false" customWidth="true" hidden="false" outlineLevel="0" max="4" min="4" style="1" width="29.77"/>
    <col collapsed="false" customWidth="false" hidden="false" outlineLevel="0" max="16384" min="5" style="1" width="10.87"/>
  </cols>
  <sheetData>
    <row r="1" customFormat="false" ht="15.75" hidden="false" customHeight="false" outlineLevel="0" collapsed="false">
      <c r="A1" s="2" t="s">
        <v>18</v>
      </c>
    </row>
    <row r="2" customFormat="false" ht="15.75" hidden="false" customHeight="false" outlineLevel="0" collapsed="false">
      <c r="C2" s="3" t="s">
        <v>19</v>
      </c>
    </row>
    <row r="3" customFormat="false" ht="15.75" hidden="false" customHeight="false" outlineLevel="0" collapsed="false">
      <c r="A3" s="3" t="s">
        <v>20</v>
      </c>
      <c r="B3" s="1" t="s">
        <v>21</v>
      </c>
      <c r="C3" s="10" t="n">
        <v>300000</v>
      </c>
      <c r="D3" s="1" t="s">
        <v>22</v>
      </c>
    </row>
    <row r="4" customFormat="false" ht="15.75" hidden="false" customHeight="false" outlineLevel="0" collapsed="false">
      <c r="A4" s="3" t="s">
        <v>23</v>
      </c>
      <c r="B4" s="1" t="s">
        <v>24</v>
      </c>
      <c r="C4" s="10" t="n">
        <v>65000</v>
      </c>
      <c r="D4" s="11" t="s">
        <v>25</v>
      </c>
    </row>
    <row r="5" customFormat="false" ht="15.75" hidden="false" customHeight="false" outlineLevel="0" collapsed="false">
      <c r="A5" s="3" t="s">
        <v>26</v>
      </c>
      <c r="B5" s="1" t="s">
        <v>27</v>
      </c>
      <c r="C5" s="10" t="n">
        <f aca="false">C3-C4</f>
        <v>235000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5:I1048576"/>
  <sheetViews>
    <sheetView showFormulas="false" showGridLines="true" showRowColHeaders="true" showZeros="true" rightToLeft="false" tabSelected="false" showOutlineSymbols="true" defaultGridColor="true" view="normal" topLeftCell="A24" colorId="64" zoomScale="172" zoomScaleNormal="172" zoomScalePageLayoutView="100" workbookViewId="0">
      <selection pane="topLeft" activeCell="B47" activeCellId="0" sqref="B47"/>
    </sheetView>
  </sheetViews>
  <sheetFormatPr defaultColWidth="9" defaultRowHeight="15" customHeight="false" zeroHeight="false" outlineLevelRow="0" outlineLevelCol="0"/>
  <cols>
    <col collapsed="false" customWidth="true" hidden="false" outlineLevel="0" max="1" min="1" style="12" width="14.13"/>
    <col collapsed="false" customWidth="true" hidden="false" outlineLevel="0" max="2" min="2" style="12" width="14.25"/>
    <col collapsed="false" customWidth="true" hidden="false" outlineLevel="0" max="3" min="3" style="12" width="11.13"/>
    <col collapsed="false" customWidth="true" hidden="false" outlineLevel="0" max="4" min="4" style="12" width="14.25"/>
    <col collapsed="false" customWidth="true" hidden="false" outlineLevel="0" max="5" min="5" style="12" width="11.13"/>
    <col collapsed="false" customWidth="false" hidden="false" outlineLevel="0" max="6" min="6" style="12" width="9"/>
    <col collapsed="false" customWidth="true" hidden="false" outlineLevel="0" max="7" min="7" style="12" width="45.25"/>
    <col collapsed="false" customWidth="false" hidden="false" outlineLevel="0" max="16384" min="8" style="12" width="9"/>
  </cols>
  <sheetData>
    <row r="25" customFormat="false" ht="15" hidden="false" customHeight="false" outlineLevel="0" collapsed="false">
      <c r="A25" s="13" t="s">
        <v>28</v>
      </c>
      <c r="B25" s="14"/>
      <c r="C25" s="14"/>
      <c r="D25" s="14"/>
      <c r="E25" s="14"/>
      <c r="F25" s="14"/>
      <c r="G25" s="14"/>
      <c r="H25" s="14"/>
      <c r="I25" s="14"/>
    </row>
    <row r="26" customFormat="false" ht="15" hidden="false" customHeight="false" outlineLevel="0" collapsed="false">
      <c r="A26" s="13"/>
      <c r="B26" s="14"/>
      <c r="C26" s="14"/>
      <c r="D26" s="14"/>
      <c r="E26" s="14"/>
      <c r="F26" s="14"/>
      <c r="G26" s="14"/>
      <c r="H26" s="14"/>
      <c r="I26" s="14"/>
    </row>
    <row r="27" customFormat="false" ht="15" hidden="false" customHeight="false" outlineLevel="0" collapsed="false">
      <c r="A27" s="15" t="s">
        <v>29</v>
      </c>
      <c r="B27" s="15" t="s">
        <v>30</v>
      </c>
      <c r="C27" s="14"/>
      <c r="D27" s="14"/>
      <c r="E27" s="14"/>
      <c r="F27" s="14"/>
      <c r="G27" s="14"/>
      <c r="H27" s="14"/>
      <c r="I27" s="14"/>
    </row>
    <row r="28" customFormat="false" ht="15" hidden="false" customHeight="false" outlineLevel="0" collapsed="false">
      <c r="A28" s="16" t="s">
        <v>31</v>
      </c>
      <c r="B28" s="16" t="s">
        <v>5</v>
      </c>
      <c r="C28" s="16"/>
      <c r="D28" s="16" t="s">
        <v>6</v>
      </c>
      <c r="E28" s="16"/>
      <c r="F28" s="14"/>
      <c r="G28" s="14"/>
      <c r="H28" s="14"/>
      <c r="I28" s="14"/>
    </row>
    <row r="29" customFormat="false" ht="15" hidden="false" customHeight="false" outlineLevel="0" collapsed="false">
      <c r="A29" s="16"/>
      <c r="B29" s="17" t="s">
        <v>7</v>
      </c>
      <c r="C29" s="17" t="s">
        <v>8</v>
      </c>
      <c r="D29" s="17" t="s">
        <v>7</v>
      </c>
      <c r="E29" s="17" t="s">
        <v>8</v>
      </c>
      <c r="F29" s="14"/>
      <c r="G29" s="14"/>
      <c r="H29" s="14"/>
      <c r="I29" s="14"/>
    </row>
    <row r="30" customFormat="false" ht="15" hidden="false" customHeight="false" outlineLevel="0" collapsed="false">
      <c r="A30" s="18" t="s">
        <v>32</v>
      </c>
      <c r="B30" s="19"/>
      <c r="C30" s="20"/>
      <c r="D30" s="19" t="s">
        <v>33</v>
      </c>
      <c r="E30" s="20" t="n">
        <v>3000</v>
      </c>
      <c r="F30" s="14"/>
      <c r="G30" s="14" t="s">
        <v>34</v>
      </c>
      <c r="H30" s="14"/>
      <c r="I30" s="14"/>
    </row>
    <row r="31" customFormat="false" ht="15" hidden="false" customHeight="false" outlineLevel="0" collapsed="false">
      <c r="A31" s="18" t="s">
        <v>35</v>
      </c>
      <c r="B31" s="19" t="s">
        <v>36</v>
      </c>
      <c r="C31" s="20" t="n">
        <v>45000</v>
      </c>
      <c r="D31" s="19"/>
      <c r="E31" s="20"/>
      <c r="F31" s="14"/>
      <c r="G31" s="14" t="s">
        <v>37</v>
      </c>
      <c r="H31" s="14"/>
      <c r="I31" s="14"/>
    </row>
    <row r="32" customFormat="false" ht="15" hidden="false" customHeight="false" outlineLevel="0" collapsed="false">
      <c r="A32" s="18" t="s">
        <v>38</v>
      </c>
      <c r="B32" s="19"/>
      <c r="C32" s="20"/>
      <c r="D32" s="19" t="s">
        <v>39</v>
      </c>
      <c r="E32" s="20" t="n">
        <v>0</v>
      </c>
      <c r="F32" s="14"/>
      <c r="G32" s="14" t="s">
        <v>40</v>
      </c>
      <c r="H32" s="14"/>
      <c r="I32" s="14"/>
    </row>
    <row r="33" customFormat="false" ht="15" hidden="false" customHeight="false" outlineLevel="0" collapsed="false">
      <c r="A33" s="18" t="s">
        <v>41</v>
      </c>
      <c r="B33" s="19" t="s">
        <v>42</v>
      </c>
      <c r="C33" s="19" t="s">
        <v>42</v>
      </c>
      <c r="D33" s="19" t="s">
        <v>42</v>
      </c>
      <c r="E33" s="19" t="s">
        <v>42</v>
      </c>
      <c r="F33" s="14"/>
      <c r="G33" s="14"/>
      <c r="H33" s="14"/>
      <c r="I33" s="14"/>
    </row>
    <row r="34" customFormat="false" ht="15" hidden="false" customHeight="false" outlineLevel="0" collapsed="false">
      <c r="A34" s="18" t="s">
        <v>43</v>
      </c>
      <c r="B34" s="19"/>
      <c r="C34" s="20"/>
      <c r="D34" s="19" t="s">
        <v>12</v>
      </c>
      <c r="E34" s="20" t="n">
        <v>25000</v>
      </c>
      <c r="F34" s="14"/>
      <c r="G34" s="14"/>
      <c r="H34" s="14"/>
      <c r="I34" s="14"/>
    </row>
    <row r="35" customFormat="false" ht="15" hidden="false" customHeight="false" outlineLevel="0" collapsed="false">
      <c r="A35" s="21" t="s">
        <v>44</v>
      </c>
      <c r="B35" s="19"/>
      <c r="C35" s="20"/>
      <c r="D35" s="19" t="s">
        <v>45</v>
      </c>
      <c r="E35" s="20" t="n">
        <v>3000</v>
      </c>
      <c r="F35" s="14"/>
      <c r="G35" s="14"/>
      <c r="H35" s="14"/>
      <c r="I35" s="14"/>
    </row>
    <row r="36" customFormat="false" ht="15" hidden="false" customHeight="false" outlineLevel="0" collapsed="false">
      <c r="A36" s="17" t="s">
        <v>16</v>
      </c>
      <c r="B36" s="22" t="n">
        <f aca="false">SUM(C30:C34)</f>
        <v>45000</v>
      </c>
      <c r="C36" s="22"/>
      <c r="D36" s="22" t="n">
        <f aca="false">SUM(E30:E35)</f>
        <v>31000</v>
      </c>
      <c r="E36" s="22"/>
      <c r="F36" s="14"/>
      <c r="G36" s="14"/>
      <c r="H36" s="14"/>
      <c r="I36" s="14"/>
    </row>
    <row r="37" customFormat="false" ht="15" hidden="false" customHeight="false" outlineLevel="0" collapsed="false">
      <c r="A37" s="23" t="s">
        <v>46</v>
      </c>
      <c r="B37" s="24" t="n">
        <f aca="false">B36-D36</f>
        <v>14000</v>
      </c>
      <c r="C37" s="24"/>
      <c r="D37" s="24"/>
      <c r="E37" s="24"/>
      <c r="F37" s="14"/>
      <c r="G37" s="14"/>
      <c r="H37" s="14"/>
      <c r="I37" s="14"/>
    </row>
    <row r="38" customFormat="false" ht="15" hidden="false" customHeight="false" outlineLevel="0" collapsed="false">
      <c r="A38" s="14"/>
      <c r="B38" s="14"/>
      <c r="C38" s="14"/>
      <c r="D38" s="14"/>
      <c r="E38" s="14"/>
      <c r="F38" s="14"/>
      <c r="G38" s="14"/>
      <c r="H38" s="14"/>
      <c r="I38" s="14"/>
    </row>
    <row r="39" customFormat="false" ht="15" hidden="false" customHeight="false" outlineLevel="0" collapsed="false">
      <c r="A39" s="14"/>
      <c r="B39" s="14"/>
      <c r="C39" s="14"/>
      <c r="D39" s="14"/>
      <c r="E39" s="14"/>
      <c r="F39" s="14"/>
      <c r="G39" s="14"/>
      <c r="H39" s="14"/>
      <c r="I39" s="14"/>
    </row>
    <row r="40" customFormat="false" ht="15" hidden="false" customHeight="false" outlineLevel="0" collapsed="false">
      <c r="A40" s="15" t="s">
        <v>47</v>
      </c>
      <c r="B40" s="15" t="s">
        <v>48</v>
      </c>
      <c r="C40" s="14"/>
      <c r="D40" s="14"/>
      <c r="E40" s="14"/>
      <c r="F40" s="14"/>
      <c r="G40" s="14"/>
      <c r="H40" s="14"/>
      <c r="I40" s="14"/>
    </row>
    <row r="41" customFormat="false" ht="15" hidden="false" customHeight="false" outlineLevel="0" collapsed="false">
      <c r="A41" s="19"/>
      <c r="B41" s="16" t="s">
        <v>5</v>
      </c>
      <c r="C41" s="16"/>
      <c r="D41" s="16" t="s">
        <v>6</v>
      </c>
      <c r="E41" s="16"/>
      <c r="F41" s="14"/>
      <c r="G41" s="14"/>
      <c r="H41" s="14"/>
      <c r="I41" s="14"/>
    </row>
    <row r="42" customFormat="false" ht="15" hidden="false" customHeight="false" outlineLevel="0" collapsed="false">
      <c r="A42" s="17" t="s">
        <v>31</v>
      </c>
      <c r="B42" s="17" t="s">
        <v>7</v>
      </c>
      <c r="C42" s="17" t="s">
        <v>8</v>
      </c>
      <c r="D42" s="17" t="s">
        <v>7</v>
      </c>
      <c r="E42" s="17" t="s">
        <v>8</v>
      </c>
      <c r="F42" s="14"/>
      <c r="G42" s="14"/>
      <c r="H42" s="14"/>
      <c r="I42" s="14"/>
    </row>
    <row r="43" customFormat="false" ht="15" hidden="false" customHeight="false" outlineLevel="0" collapsed="false">
      <c r="A43" s="18" t="s">
        <v>32</v>
      </c>
      <c r="B43" s="19"/>
      <c r="C43" s="20"/>
      <c r="D43" s="19" t="s">
        <v>33</v>
      </c>
      <c r="E43" s="20" t="n">
        <v>36000</v>
      </c>
      <c r="F43" s="14"/>
      <c r="G43" s="14" t="s">
        <v>49</v>
      </c>
      <c r="H43" s="14"/>
      <c r="I43" s="14"/>
    </row>
    <row r="44" customFormat="false" ht="15" hidden="false" customHeight="false" outlineLevel="0" collapsed="false">
      <c r="A44" s="18" t="s">
        <v>35</v>
      </c>
      <c r="B44" s="19" t="s">
        <v>36</v>
      </c>
      <c r="C44" s="20" t="n">
        <f aca="false">45000/2</f>
        <v>22500</v>
      </c>
      <c r="D44" s="19"/>
      <c r="E44" s="20"/>
      <c r="F44" s="14"/>
      <c r="G44" s="14" t="s">
        <v>50</v>
      </c>
      <c r="H44" s="14"/>
      <c r="I44" s="14"/>
    </row>
    <row r="45" customFormat="false" ht="15" hidden="false" customHeight="false" outlineLevel="0" collapsed="false">
      <c r="A45" s="18" t="s">
        <v>38</v>
      </c>
      <c r="B45" s="25"/>
      <c r="C45" s="20"/>
      <c r="D45" s="19" t="s">
        <v>39</v>
      </c>
      <c r="E45" s="20" t="n">
        <v>8000</v>
      </c>
      <c r="F45" s="14"/>
      <c r="G45" s="14"/>
      <c r="H45" s="14"/>
      <c r="I45" s="14"/>
    </row>
    <row r="46" customFormat="false" ht="15" hidden="false" customHeight="false" outlineLevel="0" collapsed="false">
      <c r="A46" s="18" t="s">
        <v>41</v>
      </c>
      <c r="B46" s="19" t="s">
        <v>36</v>
      </c>
      <c r="C46" s="20" t="n">
        <f aca="false">45000/2</f>
        <v>22500</v>
      </c>
      <c r="D46" s="19"/>
      <c r="E46" s="20"/>
      <c r="F46" s="14"/>
      <c r="G46" s="14" t="s">
        <v>51</v>
      </c>
      <c r="H46" s="14"/>
      <c r="I46" s="14"/>
    </row>
    <row r="47" customFormat="false" ht="15" hidden="false" customHeight="false" outlineLevel="0" collapsed="false">
      <c r="A47" s="18" t="s">
        <v>43</v>
      </c>
      <c r="B47" s="19" t="s">
        <v>42</v>
      </c>
      <c r="C47" s="19" t="s">
        <v>42</v>
      </c>
      <c r="D47" s="19" t="s">
        <v>42</v>
      </c>
      <c r="E47" s="19" t="s">
        <v>42</v>
      </c>
      <c r="F47" s="14"/>
      <c r="G47" s="14" t="s">
        <v>52</v>
      </c>
      <c r="H47" s="14"/>
      <c r="I47" s="14"/>
    </row>
    <row r="48" customFormat="false" ht="15" hidden="false" customHeight="false" outlineLevel="0" collapsed="false">
      <c r="A48" s="18" t="s">
        <v>44</v>
      </c>
      <c r="B48" s="19"/>
      <c r="C48" s="20"/>
      <c r="D48" s="19"/>
      <c r="E48" s="20"/>
      <c r="F48" s="14"/>
      <c r="G48" s="14"/>
      <c r="H48" s="14"/>
      <c r="I48" s="14"/>
    </row>
    <row r="49" customFormat="false" ht="15" hidden="false" customHeight="false" outlineLevel="0" collapsed="false">
      <c r="A49" s="17" t="s">
        <v>16</v>
      </c>
      <c r="B49" s="22" t="n">
        <f aca="false">SUM(C43:C47)</f>
        <v>45000</v>
      </c>
      <c r="C49" s="22"/>
      <c r="D49" s="22" t="n">
        <f aca="false">SUM(E43:E48)</f>
        <v>44000</v>
      </c>
      <c r="E49" s="22"/>
      <c r="F49" s="14"/>
      <c r="G49" s="14"/>
      <c r="H49" s="14"/>
      <c r="I49" s="14"/>
    </row>
    <row r="50" customFormat="false" ht="15" hidden="false" customHeight="false" outlineLevel="0" collapsed="false">
      <c r="A50" s="23" t="s">
        <v>53</v>
      </c>
      <c r="B50" s="24" t="n">
        <f aca="false">B49-D49</f>
        <v>1000</v>
      </c>
      <c r="C50" s="24"/>
      <c r="D50" s="24"/>
      <c r="E50" s="24"/>
      <c r="F50" s="14"/>
      <c r="G50" s="14"/>
      <c r="H50" s="14"/>
      <c r="I50" s="14"/>
    </row>
    <row r="1048576" customFormat="false" ht="12.8" hidden="false" customHeight="false" outlineLevel="0" collapsed="false"/>
  </sheetData>
  <mergeCells count="11">
    <mergeCell ref="A28:A29"/>
    <mergeCell ref="B28:C28"/>
    <mergeCell ref="D28:E28"/>
    <mergeCell ref="B36:C36"/>
    <mergeCell ref="D36:E36"/>
    <mergeCell ref="B37:E37"/>
    <mergeCell ref="B41:C41"/>
    <mergeCell ref="D41:E41"/>
    <mergeCell ref="B49:C49"/>
    <mergeCell ref="D49:E49"/>
    <mergeCell ref="B50:E5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true" showOutlineSymbols="true" defaultGridColor="true" view="normal" topLeftCell="A1" colorId="64" zoomScale="172" zoomScaleNormal="172" zoomScalePageLayoutView="100" workbookViewId="0">
      <selection pane="topLeft" activeCell="F7" activeCellId="0" sqref="F7"/>
    </sheetView>
  </sheetViews>
  <sheetFormatPr defaultColWidth="8.875" defaultRowHeight="15" customHeight="false" zeroHeight="false" outlineLevelRow="0" outlineLevelCol="0"/>
  <cols>
    <col collapsed="false" customWidth="true" hidden="false" outlineLevel="0" max="1" min="1" style="26" width="7.13"/>
    <col collapsed="false" customWidth="true" hidden="false" outlineLevel="0" max="2" min="2" style="26" width="46.62"/>
    <col collapsed="false" customWidth="true" hidden="false" outlineLevel="0" max="3" min="3" style="27" width="31.13"/>
    <col collapsed="false" customWidth="true" hidden="false" outlineLevel="0" max="4" min="4" style="27" width="40.5"/>
    <col collapsed="false" customWidth="true" hidden="false" outlineLevel="0" max="5" min="5" style="27" width="32"/>
    <col collapsed="false" customWidth="true" hidden="false" outlineLevel="0" max="6" min="6" style="26" width="28.89"/>
    <col collapsed="false" customWidth="false" hidden="false" outlineLevel="0" max="16384" min="7" style="26" width="8.87"/>
  </cols>
  <sheetData>
    <row r="1" customFormat="false" ht="15" hidden="false" customHeight="false" outlineLevel="0" collapsed="false">
      <c r="B1" s="28" t="s">
        <v>54</v>
      </c>
      <c r="C1" s="29"/>
      <c r="D1" s="29"/>
      <c r="E1" s="29"/>
      <c r="F1" s="30"/>
      <c r="G1" s="30"/>
    </row>
    <row r="2" customFormat="false" ht="31.5" hidden="false" customHeight="true" outlineLevel="0" collapsed="false">
      <c r="B2" s="31" t="s">
        <v>55</v>
      </c>
      <c r="C2" s="31"/>
      <c r="D2" s="31"/>
      <c r="E2" s="31"/>
      <c r="F2" s="30"/>
      <c r="G2" s="30"/>
    </row>
    <row r="4" customFormat="false" ht="15" hidden="false" customHeight="false" outlineLevel="0" collapsed="false">
      <c r="B4" s="32" t="s">
        <v>56</v>
      </c>
    </row>
    <row r="5" customFormat="false" ht="15.6" hidden="false" customHeight="true" outlineLevel="0" collapsed="false">
      <c r="B5" s="33" t="s">
        <v>57</v>
      </c>
      <c r="C5" s="34" t="s">
        <v>58</v>
      </c>
      <c r="D5" s="34" t="s">
        <v>59</v>
      </c>
      <c r="E5" s="34" t="s">
        <v>60</v>
      </c>
      <c r="F5" s="34" t="s">
        <v>61</v>
      </c>
      <c r="H5" s="35"/>
    </row>
    <row r="6" customFormat="false" ht="68.65" hidden="false" customHeight="true" outlineLevel="0" collapsed="false">
      <c r="B6" s="36" t="s">
        <v>62</v>
      </c>
      <c r="C6" s="37" t="s">
        <v>63</v>
      </c>
      <c r="D6" s="37" t="s">
        <v>64</v>
      </c>
      <c r="E6" s="38" t="s">
        <v>65</v>
      </c>
      <c r="F6" s="38"/>
    </row>
    <row r="7" customFormat="false" ht="23.4" hidden="false" customHeight="false" outlineLevel="0" collapsed="false">
      <c r="B7" s="36"/>
      <c r="C7" s="37" t="s">
        <v>66</v>
      </c>
      <c r="D7" s="37" t="s">
        <v>67</v>
      </c>
      <c r="E7" s="38" t="s">
        <v>65</v>
      </c>
      <c r="F7" s="38"/>
      <c r="G7" s="35"/>
    </row>
    <row r="8" customFormat="false" ht="55.95" hidden="false" customHeight="false" outlineLevel="0" collapsed="false">
      <c r="B8" s="36"/>
      <c r="C8" s="37" t="s">
        <v>68</v>
      </c>
      <c r="D8" s="37" t="s">
        <v>69</v>
      </c>
      <c r="E8" s="38" t="s">
        <v>70</v>
      </c>
      <c r="F8" s="38"/>
    </row>
    <row r="9" customFormat="false" ht="45.1" hidden="false" customHeight="false" outlineLevel="0" collapsed="false">
      <c r="B9" s="36"/>
      <c r="C9" s="37" t="s">
        <v>71</v>
      </c>
      <c r="D9" s="37" t="s">
        <v>72</v>
      </c>
      <c r="E9" s="38" t="s">
        <v>65</v>
      </c>
      <c r="F9" s="38"/>
    </row>
    <row r="10" s="27" customFormat="true" ht="45.1" hidden="false" customHeight="false" outlineLevel="0" collapsed="false">
      <c r="A10" s="26"/>
      <c r="B10" s="36"/>
      <c r="C10" s="37" t="s">
        <v>73</v>
      </c>
      <c r="D10" s="37" t="s">
        <v>74</v>
      </c>
      <c r="E10" s="38" t="s">
        <v>65</v>
      </c>
      <c r="F10" s="38"/>
      <c r="G10" s="26"/>
    </row>
    <row r="11" s="40" customFormat="true" ht="46.25" hidden="false" customHeight="false" outlineLevel="0" collapsed="false">
      <c r="A11" s="26"/>
      <c r="B11" s="36"/>
      <c r="C11" s="37" t="s">
        <v>75</v>
      </c>
      <c r="D11" s="39" t="s">
        <v>76</v>
      </c>
      <c r="E11" s="38" t="s">
        <v>77</v>
      </c>
      <c r="F11" s="38"/>
      <c r="G11" s="26"/>
    </row>
    <row r="12" s="27" customFormat="true" ht="15" hidden="false" customHeight="false" outlineLevel="0" collapsed="false"/>
    <row r="13" s="27" customFormat="true" ht="15" hidden="false" customHeight="false" outlineLevel="0" collapsed="false">
      <c r="A13" s="40"/>
      <c r="B13" s="40"/>
      <c r="C13" s="40"/>
      <c r="D13" s="40"/>
      <c r="E13" s="40"/>
      <c r="F13" s="40"/>
      <c r="G13" s="40"/>
    </row>
    <row r="14" s="27" customFormat="true" ht="15" hidden="false" customHeight="false" outlineLevel="0" collapsed="false">
      <c r="B14" s="33" t="s">
        <v>78</v>
      </c>
      <c r="C14" s="34" t="s">
        <v>79</v>
      </c>
      <c r="D14" s="34" t="s">
        <v>61</v>
      </c>
      <c r="E14" s="34" t="s">
        <v>60</v>
      </c>
      <c r="F14" s="34" t="s">
        <v>61</v>
      </c>
    </row>
    <row r="15" s="27" customFormat="true" ht="46.25" hidden="false" customHeight="true" outlineLevel="0" collapsed="false">
      <c r="B15" s="36" t="s">
        <v>80</v>
      </c>
      <c r="C15" s="37" t="s">
        <v>81</v>
      </c>
      <c r="D15" s="37" t="s">
        <v>82</v>
      </c>
      <c r="E15" s="38"/>
      <c r="F15" s="38"/>
    </row>
    <row r="16" s="27" customFormat="true" ht="45.1" hidden="false" customHeight="false" outlineLevel="0" collapsed="false">
      <c r="B16" s="36"/>
      <c r="C16" s="37" t="s">
        <v>83</v>
      </c>
      <c r="D16" s="37" t="s">
        <v>84</v>
      </c>
      <c r="E16" s="38"/>
      <c r="F16" s="38"/>
    </row>
    <row r="17" s="27" customFormat="true" ht="34.25" hidden="false" customHeight="false" outlineLevel="0" collapsed="false">
      <c r="B17" s="36"/>
      <c r="C17" s="37" t="s">
        <v>66</v>
      </c>
      <c r="D17" s="37" t="s">
        <v>85</v>
      </c>
      <c r="E17" s="38"/>
      <c r="F17" s="38"/>
    </row>
    <row r="18" s="27" customFormat="true" ht="45.1" hidden="false" customHeight="false" outlineLevel="0" collapsed="false">
      <c r="B18" s="36"/>
      <c r="C18" s="37" t="s">
        <v>86</v>
      </c>
      <c r="D18" s="37" t="s">
        <v>87</v>
      </c>
      <c r="E18" s="38"/>
      <c r="F18" s="38"/>
    </row>
    <row r="19" s="27" customFormat="true" ht="45.1" hidden="false" customHeight="false" outlineLevel="0" collapsed="false">
      <c r="B19" s="36"/>
      <c r="C19" s="37" t="s">
        <v>88</v>
      </c>
      <c r="D19" s="37" t="s">
        <v>89</v>
      </c>
      <c r="E19" s="38"/>
      <c r="F19" s="38"/>
    </row>
    <row r="20" s="27" customFormat="true" ht="34.25" hidden="false" customHeight="false" outlineLevel="0" collapsed="false">
      <c r="B20" s="36"/>
      <c r="C20" s="37" t="s">
        <v>90</v>
      </c>
      <c r="D20" s="37" t="s">
        <v>91</v>
      </c>
      <c r="E20" s="38"/>
      <c r="F20" s="38"/>
    </row>
    <row r="21" s="27" customFormat="true" ht="15" hidden="false" customHeight="false" outlineLevel="0" collapsed="false"/>
    <row r="22" s="27" customFormat="true" ht="15" hidden="false" customHeight="false" outlineLevel="0" collapsed="false"/>
    <row r="23" s="27" customFormat="true" ht="15" hidden="false" customHeight="false" outlineLevel="0" collapsed="false"/>
    <row r="24" s="27" customFormat="true" ht="15" hidden="false" customHeight="false" outlineLevel="0" collapsed="false"/>
    <row r="25" customFormat="false" ht="15" hidden="false" customHeight="false" outlineLevel="0" collapsed="false">
      <c r="A25" s="27"/>
      <c r="B25" s="27"/>
      <c r="F25" s="27"/>
      <c r="G25" s="27"/>
    </row>
    <row r="26" customFormat="false" ht="15" hidden="false" customHeight="false" outlineLevel="0" collapsed="false">
      <c r="A26" s="27"/>
      <c r="B26" s="27"/>
      <c r="F26" s="27"/>
      <c r="G26" s="27"/>
    </row>
  </sheetData>
  <mergeCells count="3">
    <mergeCell ref="B2:E2"/>
    <mergeCell ref="B6:B11"/>
    <mergeCell ref="B15:B20"/>
  </mergeCells>
  <dataValidations count="1">
    <dataValidation allowBlank="true" errorStyle="stop" operator="between" showDropDown="false" showErrorMessage="true" showInputMessage="true" sqref="E6:F11 E15:F20" type="list">
      <formula1>"Accounting,Finance,Tax"</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202B752A7F7B045A654E76EE94D2D3A" ma:contentTypeVersion="3" ma:contentTypeDescription="Create a new document." ma:contentTypeScope="" ma:versionID="4215b9e704be5d161ba1aad4d49aca4d">
  <xsd:schema xmlns:xsd="http://www.w3.org/2001/XMLSchema" xmlns:xs="http://www.w3.org/2001/XMLSchema" xmlns:p="http://schemas.microsoft.com/office/2006/metadata/properties" xmlns:ns2="fae806f6-f023-46bd-a0b6-7a3e9b23c51c" targetNamespace="http://schemas.microsoft.com/office/2006/metadata/properties" ma:root="true" ma:fieldsID="a5b5da177a5f3fa3ffbc571da91d5252" ns2:_="">
    <xsd:import namespace="fae806f6-f023-46bd-a0b6-7a3e9b23c51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e806f6-f023-46bd-a0b6-7a3e9b23c5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3C95419-98D5-440C-9B78-52B0EBF2A527}"/>
</file>

<file path=customXml/itemProps2.xml><?xml version="1.0" encoding="utf-8"?>
<ds:datastoreItem xmlns:ds="http://schemas.openxmlformats.org/officeDocument/2006/customXml" ds:itemID="{7DC9F67B-80B0-4D40-82A0-58CFE7B53D96}">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13D71FA4-D9DE-49F6-85FF-EFA21EF0BC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
  <TotalTime>21</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2023-11-23T09:06:49Z</dcterms:created>
  <dc:creator>Phuc Nguyen</dc:creator>
  <dc:description/>
  <dc:language>en-AU</dc:language>
  <cp:lastModifiedBy/>
  <dcterms:modified xsi:type="dcterms:W3CDTF">2026-02-18T17:48:46Z</dcterms:modified>
  <cp:revision>23</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0x010100F202B752A7F7B045A654E76EE94D2D3A</vt:lpwstr>
  </property>
  <property fmtid="{D5CDD505-2E9C-101B-9397-08002B2CF9AE}" pid="4" name="MediaServiceImageTags">
    <vt:lpwstr/>
  </property>
  <property fmtid="{D5CDD505-2E9C-101B-9397-08002B2CF9AE}" pid="5" name="Order">
    <vt:r8>69200</vt:r8>
  </property>
  <property fmtid="{D5CDD505-2E9C-101B-9397-08002B2CF9AE}" pid="6" name="TemplateUrl">
    <vt:lpwstr/>
  </property>
  <property fmtid="{D5CDD505-2E9C-101B-9397-08002B2CF9AE}" pid="7" name="TriggerFlowInfo">
    <vt:lpwstr/>
  </property>
  <property fmtid="{D5CDD505-2E9C-101B-9397-08002B2CF9AE}" pid="8" name="_ExtendedDescription">
    <vt:lpwstr/>
  </property>
  <property fmtid="{D5CDD505-2E9C-101B-9397-08002B2CF9AE}" pid="9" name="xd_ProgID">
    <vt:lpwstr/>
  </property>
  <property fmtid="{D5CDD505-2E9C-101B-9397-08002B2CF9AE}" pid="10" name="xd_Signature">
    <vt:bool>0</vt:bool>
  </property>
</Properties>
</file>