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roblem 1" sheetId="1" state="visible" r:id="rId3"/>
    <sheet name="Problem 2" sheetId="2" state="visible" r:id="rId4"/>
    <sheet name="Video In-Class Activity" sheetId="3" state="visible" r:id="rId5"/>
    <sheet name="Tutorial In-Class Activit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<sst xmlns="http://schemas.openxmlformats.org/spreadsheetml/2006/main" count="184" uniqueCount="138">
  <si>
    <t xml:space="preserve">Account Type</t>
  </si>
  <si>
    <t xml:space="preserve">Asset</t>
  </si>
  <si>
    <t xml:space="preserve">Statement</t>
  </si>
  <si>
    <t xml:space="preserve">Income statement</t>
  </si>
  <si>
    <t xml:space="preserve">Liability</t>
  </si>
  <si>
    <t xml:space="preserve">Balance sheet</t>
  </si>
  <si>
    <t xml:space="preserve">Equity</t>
  </si>
  <si>
    <t xml:space="preserve">Revenue </t>
  </si>
  <si>
    <t xml:space="preserve">Expense</t>
  </si>
  <si>
    <t xml:space="preserve">Select the account type and statement by clicking on the dropdown box:</t>
  </si>
  <si>
    <t xml:space="preserve">Items</t>
  </si>
  <si>
    <t xml:space="preserve">Accounts payable</t>
  </si>
  <si>
    <t xml:space="preserve">Accounts receivable</t>
  </si>
  <si>
    <t xml:space="preserve">Administration expenses</t>
  </si>
  <si>
    <t xml:space="preserve">Borrowings </t>
  </si>
  <si>
    <t xml:space="preserve">Cash</t>
  </si>
  <si>
    <t xml:space="preserve">Cost of goods sold</t>
  </si>
  <si>
    <t xml:space="preserve">Current tax payable</t>
  </si>
  <si>
    <t xml:space="preserve">Income tax expense</t>
  </si>
  <si>
    <t xml:space="preserve">Interest expense</t>
  </si>
  <si>
    <t xml:space="preserve">Inventories</t>
  </si>
  <si>
    <t xml:space="preserve">Occupancy expenses</t>
  </si>
  <si>
    <t xml:space="preserve">Plant and equipment </t>
  </si>
  <si>
    <t xml:space="preserve">Retained earnings </t>
  </si>
  <si>
    <t xml:space="preserve">Sales and marketing expenses</t>
  </si>
  <si>
    <t xml:space="preserve">Sales revenue</t>
  </si>
  <si>
    <t xml:space="preserve">Share capital</t>
  </si>
  <si>
    <t xml:space="preserve">Wages payable</t>
  </si>
  <si>
    <t xml:space="preserve">The following account balances are taken from the books of JB Hi-Fi on 30 June 2022. Revenues and expenses are for the year ended 30 June 2022. All figures are in millions of Australian Dollar. </t>
  </si>
  <si>
    <t xml:space="preserve">Borrowings (payable on 1/6/2025)</t>
  </si>
  <si>
    <t xml:space="preserve">Dividends (declared and paid during the year)</t>
  </si>
  <si>
    <t xml:space="preserve">Retained profits (1/7/2021)</t>
  </si>
  <si>
    <t xml:space="preserve">Part a. Prepare an income statement for JB Hi-Fi for the year ended 30 June 2022.</t>
  </si>
  <si>
    <t xml:space="preserve">JB Hi-Fi</t>
  </si>
  <si>
    <t xml:space="preserve">Income statement for the year ended 30 June 2022</t>
  </si>
  <si>
    <t xml:space="preserve">$ million</t>
  </si>
  <si>
    <t xml:space="preserve">Gross Profit</t>
  </si>
  <si>
    <t xml:space="preserve">Profit before tax</t>
  </si>
  <si>
    <t xml:space="preserve">Net Profit</t>
  </si>
  <si>
    <t xml:space="preserve">Part b. Calculate the balance of retained profits at 30 June 2022. </t>
  </si>
  <si>
    <t xml:space="preserve">Opening balance of Retained Profits (1/7/2021)</t>
  </si>
  <si>
    <t xml:space="preserve">Add net profit</t>
  </si>
  <si>
    <t xml:space="preserve">Less dividends</t>
  </si>
  <si>
    <t xml:space="preserve">= Closing balance of Retained Profits (30/6/2022)</t>
  </si>
  <si>
    <t xml:space="preserve">Part c. Prepare a balance sheet as at 30 June 2022. </t>
  </si>
  <si>
    <t xml:space="preserve">Balance sheet as at 30 June 2022</t>
  </si>
  <si>
    <t xml:space="preserve">ASSETS</t>
  </si>
  <si>
    <t xml:space="preserve">Current assets</t>
  </si>
  <si>
    <t xml:space="preserve">Total current assets</t>
  </si>
  <si>
    <t xml:space="preserve">Non-current assets</t>
  </si>
  <si>
    <t xml:space="preserve">Total non-current assets</t>
  </si>
  <si>
    <t xml:space="preserve">Total Assets</t>
  </si>
  <si>
    <t xml:space="preserve">LIABILITIES</t>
  </si>
  <si>
    <t xml:space="preserve">Current liabilities</t>
  </si>
  <si>
    <t xml:space="preserve">Total current liabilities</t>
  </si>
  <si>
    <t xml:space="preserve">Non-current liabilities</t>
  </si>
  <si>
    <t xml:space="preserve">Total non-current liabilities</t>
  </si>
  <si>
    <t xml:space="preserve">Total Liabilities</t>
  </si>
  <si>
    <t xml:space="preserve">EQUITY</t>
  </si>
  <si>
    <t xml:space="preserve">Total Equity</t>
  </si>
  <si>
    <t xml:space="preserve">Total Liabilities &amp; Equity</t>
  </si>
  <si>
    <t xml:space="preserve">Instruction: Select the most appropriate decision &amp; accounting skillset by clicking on the dropdown box below:</t>
  </si>
  <si>
    <t xml:space="preserve">Case Study</t>
  </si>
  <si>
    <t xml:space="preserve">A</t>
  </si>
  <si>
    <t xml:space="preserve">Scenario: Launching a New Product Campaign
Imagine a marketing manager working for Google that is planning to launch a new smartphone model. The marketing manager is responsible for creating and executing a comprehensive marketing campaign to promote the new product and generate sales.</t>
  </si>
  <si>
    <t xml:space="preserve">Mix and Match (Provide a list of decisions, definitions and skillsets and students have to complete the table)</t>
  </si>
  <si>
    <t xml:space="preserve">Task</t>
  </si>
  <si>
    <t xml:space="preserve">Decision</t>
  </si>
  <si>
    <t xml:space="preserve">Accounting Skillset Required</t>
  </si>
  <si>
    <t xml:space="preserve">Example</t>
  </si>
  <si>
    <t xml:space="preserve">The marketing manager needs to calculate the cost of marketing campaign, including expenses for advertising, social media promotion, influencer partnerships, and other promotional activities. </t>
  </si>
  <si>
    <t xml:space="preserve">Budgeting</t>
  </si>
  <si>
    <t xml:space="preserve">Management Accounting</t>
  </si>
  <si>
    <t xml:space="preserve">You have been asked to make sure that no leaks of the new smarthphone are released to the public before the official launch date</t>
  </si>
  <si>
    <t xml:space="preserve">Asset Protection</t>
  </si>
  <si>
    <t xml:space="preserve">Audit and Internal Control</t>
  </si>
  <si>
    <t xml:space="preserve">The marketing manager is in meetings with the CEO and asked to provide an estimated price of the new product</t>
  </si>
  <si>
    <t xml:space="preserve">Pricing Consideration</t>
  </si>
  <si>
    <t xml:space="preserve">The marketing manager has been asked how many products they anticipate selling in the first month. </t>
  </si>
  <si>
    <t xml:space="preserve">Inventory Management</t>
  </si>
  <si>
    <t xml:space="preserve">The marketing manager need to provide reports to shareholders on the financial performance of the campaign</t>
  </si>
  <si>
    <t xml:space="preserve">Financial Reporting</t>
  </si>
  <si>
    <t xml:space="preserve">Financial Accounting</t>
  </si>
  <si>
    <t xml:space="preserve">The CEO wants to understand how cash flow implications of the marketing campaign and how it will impact working capital (cash tied up in Inventory). </t>
  </si>
  <si>
    <t xml:space="preserve">Cash Flow Management</t>
  </si>
  <si>
    <t xml:space="preserve">B</t>
  </si>
  <si>
    <t xml:space="preserve">Scenario: Deciding Compensation Packages for Staff
Imagine an HR manager responsible for designing and managing the employee compensation and benefits program at Atlassian. The HR manager needs to ensure that the compensation packages are competitive, aligned with the company's financial health, and support the company's talent acquisition and retention goals.
</t>
  </si>
  <si>
    <t xml:space="preserve">You have been asked to identify areas where we can manage costs by reducing bonuses paid to staff this year.</t>
  </si>
  <si>
    <t xml:space="preserve">Cost Control</t>
  </si>
  <si>
    <t xml:space="preserve">The CFO has asked the CEO for permission to hire five new accountants. You - as head of HR - have been asked to provide a breakdown of the cost of this hire for the next financial year.</t>
  </si>
  <si>
    <t xml:space="preserve">Cost Estimation</t>
  </si>
  <si>
    <t xml:space="preserve">You have been asked to review the payment processes followed by the payroll team to ensure that staff are not underpaid. </t>
  </si>
  <si>
    <t xml:space="preserve">Legal and Compliance</t>
  </si>
  <si>
    <t xml:space="preserve">You have been asked to create incentive structures for staff that align with the company's financial goals and encourage desired behaviors. You must present a budget highlighting how the cost of your proposal compares to the current incentive structure.</t>
  </si>
  <si>
    <t xml:space="preserve">Performance Incentives</t>
  </si>
  <si>
    <t xml:space="preserve">C</t>
  </si>
  <si>
    <t xml:space="preserve">Scenario: Launching a Startup Retail Business
Imagine an entrepreneur who is passionate about fashion and decides to launch a startup retail business selling clothing and accessories. The entrepreneur has a unique vision for their brand and aims to create a strong presence in the market through the launch of a new fashion line.
</t>
  </si>
  <si>
    <t xml:space="preserve">You must calculate various startup expenses, such as rent, store setup, marketing, and staffing</t>
  </si>
  <si>
    <t xml:space="preserve">You must monitor whether there is enough cash on hand to meet financial obligations, such as paying suppliers, rent, and loan installments on a weekly basis</t>
  </si>
  <si>
    <t xml:space="preserve">You are going to meet potential investors who are considering buying a minority stake in the business. The investors want a detailed update on the financial performance of the business over the last six months.</t>
  </si>
  <si>
    <t xml:space="preserve">You must ensure stock is not stolen and the orders are sent to the correct customers</t>
  </si>
  <si>
    <t xml:space="preserve">You must ensure sales and expenses are recorded so financial statements are prepared and tax obligations are paid on time without penalty</t>
  </si>
  <si>
    <t xml:space="preserve">D</t>
  </si>
  <si>
    <t xml:space="preserve">Scenario: IT Consulting for Small Businesses
Imagine an IT consultant for Deloitte who offers specialized technology solutions and services to small businesses. The consultant assists these businesses in optimizing their IT infrastructure, implementing software solutions, and enhancing cybersecurity measures.
</t>
  </si>
  <si>
    <t xml:space="preserve">The IT consultant needs to accurately bill clients for services rendered. </t>
  </si>
  <si>
    <t xml:space="preserve">When proposing IT solutions or projects to potential clients, the consultant must estimate costs accurately and account for hardware, software, labor, and other expenses involved in delivering the IT solution</t>
  </si>
  <si>
    <t xml:space="preserve">You must manage risks of junior staff communicating incorrect information to clients</t>
  </si>
  <si>
    <t xml:space="preserve">You must assess the financial feasibility of expanding the workforce, including salary, benefits, and overhead costs.</t>
  </si>
  <si>
    <t xml:space="preserve">You must analyse monthly statements that outline all revenues and expenses to determine division profitability</t>
  </si>
  <si>
    <t xml:space="preserve">Tutorial Activity</t>
  </si>
  <si>
    <t xml:space="preserve">JB Hi-Fi opened a new Warrnambool store. Let's consider the store's transactions for December 2023:</t>
  </si>
  <si>
    <r>
      <rPr>
        <b val="true"/>
        <sz val="12"/>
        <color theme="1"/>
        <rFont val="Calibri"/>
        <family val="2"/>
        <charset val="1"/>
      </rPr>
      <t xml:space="preserve">#1:</t>
    </r>
    <r>
      <rPr>
        <sz val="12"/>
        <color theme="1"/>
        <rFont val="Calibri"/>
        <family val="2"/>
        <charset val="1"/>
      </rPr>
      <t xml:space="preserve"> The store's outstanding performance led JB Hi-Fi to place $2,000,000 into a two-year term</t>
    </r>
  </si>
  <si>
    <t xml:space="preserve">deposit at an interest rate of 6% per annum (simple interest), starting on 1/12/2023. They anticipate receiving</t>
  </si>
  <si>
    <t xml:space="preserve">the first interest payment on 1/1/2024.</t>
  </si>
  <si>
    <r>
      <rPr>
        <b val="true"/>
        <sz val="12"/>
        <color theme="1"/>
        <rFont val="Calibri"/>
        <family val="2"/>
        <charset val="1"/>
      </rPr>
      <t xml:space="preserve">#2: </t>
    </r>
    <r>
      <rPr>
        <sz val="12"/>
        <color theme="1"/>
        <rFont val="Calibri"/>
        <family val="2"/>
        <charset val="1"/>
      </rPr>
      <t xml:space="preserve">The store paid $48,000 for a year's insurance coverage, effective from 1/12/2023.</t>
    </r>
  </si>
  <si>
    <r>
      <rPr>
        <b val="true"/>
        <sz val="12"/>
        <color theme="1"/>
        <rFont val="Calibri"/>
        <family val="2"/>
        <charset val="1"/>
      </rPr>
      <t xml:space="preserve">#3: </t>
    </r>
    <r>
      <rPr>
        <sz val="12"/>
        <color theme="1"/>
        <rFont val="Calibri"/>
        <family val="2"/>
        <charset val="1"/>
      </rPr>
      <t xml:space="preserve">TVs and home appliances costing $100,000 were sold for $160,000. Cash sales accounted for 90% of the total,</t>
    </r>
  </si>
  <si>
    <t xml:space="preserve">with the rest on credit, subject to a 14-day collection period.</t>
  </si>
  <si>
    <r>
      <rPr>
        <b val="true"/>
        <sz val="12"/>
        <color theme="1"/>
        <rFont val="Calibri"/>
        <family val="2"/>
        <charset val="1"/>
      </rPr>
      <t xml:space="preserve">#4: </t>
    </r>
    <r>
      <rPr>
        <sz val="12"/>
        <color theme="1"/>
        <rFont val="Calibri"/>
        <family val="2"/>
        <charset val="1"/>
      </rPr>
      <t xml:space="preserve">$2,000 was received for installation services to be provided in January 2024.</t>
    </r>
  </si>
  <si>
    <r>
      <rPr>
        <b val="true"/>
        <sz val="12"/>
        <color theme="1"/>
        <rFont val="Calibri"/>
        <family val="2"/>
        <charset val="1"/>
      </rPr>
      <t xml:space="preserve">Calculate the total revenue and total expenses to be recognised for </t>
    </r>
    <r>
      <rPr>
        <b val="true"/>
        <u val="single"/>
        <sz val="12"/>
        <color theme="1"/>
        <rFont val="Calibri"/>
        <family val="2"/>
        <charset val="1"/>
      </rPr>
      <t xml:space="preserve">December 2023</t>
    </r>
    <r>
      <rPr>
        <b val="true"/>
        <sz val="12"/>
        <color theme="1"/>
        <rFont val="Calibri"/>
        <family val="2"/>
        <charset val="1"/>
      </rPr>
      <t xml:space="preserve"> and determine the accrual</t>
    </r>
  </si>
  <si>
    <t xml:space="preserve">profit for the month.</t>
  </si>
  <si>
    <t xml:space="preserve">Note: if there is no revenue or expense to be recorded for a particular transaction, then leave the account name and amount blank</t>
  </si>
  <si>
    <t xml:space="preserve">Transaction</t>
  </si>
  <si>
    <t xml:space="preserve">Revenues</t>
  </si>
  <si>
    <t xml:space="preserve">Expenses</t>
  </si>
  <si>
    <t xml:space="preserve">Account Name</t>
  </si>
  <si>
    <t xml:space="preserve">Amount ($)</t>
  </si>
  <si>
    <t xml:space="preserve">#1</t>
  </si>
  <si>
    <t xml:space="preserve">Investment interest</t>
  </si>
  <si>
    <t xml:space="preserve">The investment earned during the month of December</t>
  </si>
  <si>
    <t xml:space="preserve">#2</t>
  </si>
  <si>
    <t xml:space="preserve">Insurance expense</t>
  </si>
  <si>
    <t xml:space="preserve">Insurance paid for the month of December</t>
  </si>
  <si>
    <t xml:space="preserve">#3</t>
  </si>
  <si>
    <t xml:space="preserve">Sales</t>
  </si>
  <si>
    <t xml:space="preserve">#4</t>
  </si>
  <si>
    <t xml:space="preserve">Even though cash was paid, it was not earned so cannot be counted as revenue</t>
  </si>
  <si>
    <t xml:space="preserve">Total</t>
  </si>
  <si>
    <t xml:space="preserve">Accural profit</t>
  </si>
</sst>
</file>

<file path=xl/styles.xml><?xml version="1.0" encoding="utf-8"?>
<styleSheet xmlns="http://schemas.openxmlformats.org/spreadsheetml/2006/main">
  <numFmts count="3">
    <numFmt numFmtId="164" formatCode="General"/>
    <numFmt numFmtId="165" formatCode="_(* #,##0.00_);_(* \(#,##0.00\);_(* \-??_);_(@_)"/>
    <numFmt numFmtId="166" formatCode="_(* #,##0_);_(* \(#,##0\);_(* \-??_);_(@_)"/>
  </numFmts>
  <fonts count="18">
    <font>
      <sz val="12"/>
      <color theme="1"/>
      <name val="Calibri"/>
      <family val="2"/>
      <charset val="1"/>
    </font>
    <font>
      <sz val="10"/>
      <name val="Arial"/>
      <family val="0"/>
    </font>
    <font>
      <sz val="10"/>
      <name val="Arial"/>
      <family val="0"/>
    </font>
    <font>
      <sz val="10"/>
      <name val="Arial"/>
      <family val="0"/>
    </font>
    <font>
      <sz val="11"/>
      <color theme="1"/>
      <name val="Calibri"/>
      <family val="2"/>
      <charset val="1"/>
    </font>
    <font>
      <b val="true"/>
      <sz val="12"/>
      <color theme="1"/>
      <name val="Calibri"/>
      <family val="2"/>
      <charset val="1"/>
    </font>
    <font>
      <b val="true"/>
      <sz val="12"/>
      <color rgb="FFFF0000"/>
      <name val="Calibri"/>
      <family val="2"/>
      <charset val="1"/>
    </font>
    <font>
      <b val="true"/>
      <i val="true"/>
      <sz val="12"/>
      <color theme="1"/>
      <name val="Calibri"/>
      <family val="2"/>
      <charset val="1"/>
    </font>
    <font>
      <b val="true"/>
      <i val="true"/>
      <sz val="12"/>
      <color rgb="FF7030A0"/>
      <name val="Calibri"/>
      <family val="2"/>
      <charset val="1"/>
    </font>
    <font>
      <b val="true"/>
      <sz val="11"/>
      <color rgb="FFFF0000"/>
      <name val="Calibri"/>
      <family val="2"/>
      <charset val="1"/>
    </font>
    <font>
      <b val="true"/>
      <sz val="11"/>
      <color theme="1"/>
      <name val="Calibri"/>
      <family val="2"/>
      <charset val="1"/>
    </font>
    <font>
      <b val="true"/>
      <sz val="11"/>
      <color rgb="FF444444"/>
      <name val="Calibri"/>
      <family val="2"/>
      <charset val="1"/>
    </font>
    <font>
      <sz val="11"/>
      <color rgb="FF444444"/>
      <name val="Calibri"/>
      <family val="2"/>
      <charset val="1"/>
    </font>
    <font>
      <sz val="11"/>
      <color rgb="FFFF0000"/>
      <name val="Calibri"/>
      <family val="2"/>
      <charset val="1"/>
    </font>
    <font>
      <sz val="12"/>
      <color rgb="FF3F3F76"/>
      <name val="Calibri"/>
      <family val="2"/>
      <charset val="1"/>
    </font>
    <font>
      <sz val="11"/>
      <color rgb="FF000000"/>
      <name val="Calibri"/>
      <family val="2"/>
      <charset val="1"/>
    </font>
    <font>
      <b val="true"/>
      <sz val="11"/>
      <color rgb="FF000000"/>
      <name val="Calibri"/>
      <family val="2"/>
      <charset val="1"/>
    </font>
    <font>
      <b val="true"/>
      <u val="single"/>
      <sz val="12"/>
      <color theme="1"/>
      <name val="Calibri"/>
      <family val="2"/>
      <charset val="1"/>
    </font>
  </fonts>
  <fills count="8">
    <fill>
      <patternFill patternType="none"/>
    </fill>
    <fill>
      <patternFill patternType="gray125"/>
    </fill>
    <fill>
      <patternFill patternType="solid">
        <fgColor rgb="FFFFCC99"/>
        <bgColor rgb="FFFBE5D6"/>
      </patternFill>
    </fill>
    <fill>
      <patternFill patternType="solid">
        <fgColor theme="5" tint="0.7999"/>
        <bgColor rgb="FFFFF2CC"/>
      </patternFill>
    </fill>
    <fill>
      <patternFill patternType="solid">
        <fgColor rgb="FFFFFF00"/>
        <bgColor rgb="FFFFFF00"/>
      </patternFill>
    </fill>
    <fill>
      <patternFill patternType="solid">
        <fgColor theme="8" tint="0.7999"/>
        <bgColor rgb="FFD6DCE5"/>
      </patternFill>
    </fill>
    <fill>
      <patternFill patternType="solid">
        <fgColor theme="7" tint="0.7999"/>
        <bgColor rgb="FFFBE5D6"/>
      </patternFill>
    </fill>
    <fill>
      <patternFill patternType="solid">
        <fgColor theme="3" tint="0.7999"/>
        <bgColor rgb="FFDEEBF7"/>
      </patternFill>
    </fill>
  </fills>
  <borders count="15">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medium"/>
      <right/>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14" fillId="2" borderId="1" applyFont="true" applyBorder="true" applyAlignment="true" applyProtection="false">
      <alignment horizontal="general" vertical="bottom" textRotation="0" wrapText="false" indent="0" shrinkToFit="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15" applyFont="true" applyBorder="true" applyAlignment="true" applyProtection="true">
      <alignment horizontal="general" vertical="bottom" textRotation="0" wrapText="false" indent="0" shrinkToFit="false"/>
      <protection locked="true" hidden="false"/>
    </xf>
    <xf numFmtId="166" fontId="5" fillId="0" borderId="2" xfId="15" applyFont="true" applyBorder="true" applyAlignment="true" applyProtection="true">
      <alignment horizontal="center" vertical="center" textRotation="0" wrapText="false" indent="0" shrinkToFit="false"/>
      <protection locked="true" hidden="false"/>
    </xf>
    <xf numFmtId="166" fontId="0" fillId="0" borderId="3" xfId="15" applyFont="true" applyBorder="true" applyAlignment="true" applyProtection="true">
      <alignment horizontal="general" vertical="bottom" textRotation="0" wrapText="false" indent="0" shrinkToFit="false"/>
      <protection locked="true" hidden="false"/>
    </xf>
    <xf numFmtId="166" fontId="0" fillId="0" borderId="4" xfId="15" applyFont="true" applyBorder="true" applyAlignment="true" applyProtection="true">
      <alignment horizontal="general" vertical="bottom" textRotation="0" wrapText="false" indent="0" shrinkToFit="false"/>
      <protection locked="true" hidden="false"/>
    </xf>
    <xf numFmtId="166" fontId="0" fillId="0" borderId="5" xfId="15" applyFont="true" applyBorder="true" applyAlignment="true" applyProtection="true">
      <alignment horizontal="general" vertical="bottom" textRotation="0" wrapText="false" indent="0" shrinkToFit="false"/>
      <protection locked="true" hidden="false"/>
    </xf>
    <xf numFmtId="166" fontId="5" fillId="0" borderId="0" xfId="15" applyFont="true" applyBorder="true" applyAlignment="true" applyProtection="true">
      <alignment horizontal="general" vertical="bottom" textRotation="0" wrapText="false" indent="0" shrinkToFit="false"/>
      <protection locked="true" hidden="false"/>
    </xf>
    <xf numFmtId="166" fontId="5" fillId="0" borderId="6" xfId="15" applyFont="true" applyBorder="true" applyAlignment="true" applyProtection="true">
      <alignment horizontal="general" vertical="bottom" textRotation="0" wrapText="false" indent="0" shrinkToFit="false"/>
      <protection locked="true" hidden="false"/>
    </xf>
    <xf numFmtId="165" fontId="0" fillId="0" borderId="6" xfId="15" applyFont="true" applyBorder="true" applyAlignment="true" applyProtection="true">
      <alignment horizontal="general" vertical="bottom" textRotation="0" wrapText="false" indent="0" shrinkToFit="false"/>
      <protection locked="true" hidden="false"/>
    </xf>
    <xf numFmtId="166" fontId="0" fillId="0" borderId="6" xfId="15" applyFont="true" applyBorder="true" applyAlignment="true" applyProtection="true">
      <alignment horizontal="general" vertical="bottom" textRotation="0" wrapText="false" indent="0" shrinkToFit="false"/>
      <protection locked="true" hidden="false"/>
    </xf>
    <xf numFmtId="166" fontId="5" fillId="0" borderId="0" xfId="15" applyFont="true" applyBorder="true" applyAlignment="true" applyProtection="true">
      <alignment horizontal="center" vertical="bottom" textRotation="0" wrapText="true" indent="0" shrinkToFit="false"/>
      <protection locked="true" hidden="false"/>
    </xf>
    <xf numFmtId="166" fontId="0" fillId="0" borderId="6" xfId="15" applyFont="true" applyBorder="true" applyAlignment="true" applyProtection="true">
      <alignment horizontal="center" vertical="bottom" textRotation="0" wrapText="false" indent="0" shrinkToFit="false"/>
      <protection locked="true" hidden="false"/>
    </xf>
    <xf numFmtId="166" fontId="6" fillId="0" borderId="0" xfId="15" applyFont="true" applyBorder="true" applyAlignment="true" applyProtection="true">
      <alignment horizontal="center" vertical="bottom" textRotation="0" wrapText="true" indent="0" shrinkToFit="false"/>
      <protection locked="true" hidden="false"/>
    </xf>
    <xf numFmtId="165" fontId="5" fillId="0" borderId="6" xfId="15" applyFont="true" applyBorder="true" applyAlignment="true" applyProtection="true">
      <alignment horizontal="center" vertical="bottom" textRotation="0" wrapText="false" indent="0" shrinkToFit="false"/>
      <protection locked="true" hidden="false"/>
    </xf>
    <xf numFmtId="165" fontId="5" fillId="0" borderId="6" xfId="15" applyFont="true" applyBorder="true" applyAlignment="true" applyProtection="true">
      <alignment horizontal="general" vertical="bottom" textRotation="0" wrapText="false" indent="0" shrinkToFit="false"/>
      <protection locked="true" hidden="false"/>
    </xf>
    <xf numFmtId="166" fontId="7" fillId="0" borderId="6" xfId="15" applyFont="true" applyBorder="true" applyAlignment="true" applyProtection="true">
      <alignment horizontal="general" vertical="bottom" textRotation="0" wrapText="false" indent="0" shrinkToFit="false"/>
      <protection locked="true" hidden="false"/>
    </xf>
    <xf numFmtId="166" fontId="6" fillId="0" borderId="0" xfId="15" applyFont="true" applyBorder="true" applyAlignment="true" applyProtection="true">
      <alignment horizontal="center" vertical="bottom" textRotation="0" wrapText="false" indent="0" shrinkToFit="false"/>
      <protection locked="true" hidden="false"/>
    </xf>
    <xf numFmtId="166" fontId="6" fillId="0" borderId="6" xfId="15" applyFont="true" applyBorder="true" applyAlignment="true" applyProtection="true">
      <alignment horizontal="center" vertical="bottom" textRotation="0" wrapText="false" indent="0" shrinkToFit="false"/>
      <protection locked="true" hidden="false"/>
    </xf>
    <xf numFmtId="165" fontId="6" fillId="0" borderId="6" xfId="15" applyFont="true" applyBorder="true" applyAlignment="true" applyProtection="true">
      <alignment horizontal="general" vertical="bottom" textRotation="0" wrapText="false" indent="0" shrinkToFit="false"/>
      <protection locked="true" hidden="false"/>
    </xf>
    <xf numFmtId="165" fontId="8" fillId="0" borderId="6" xfId="15" applyFont="true" applyBorder="true" applyAlignment="true" applyProtection="true">
      <alignment horizontal="general" vertical="bottom" textRotation="0" wrapText="false" indent="0" shrinkToFit="false"/>
      <protection locked="true" hidden="false"/>
    </xf>
    <xf numFmtId="164" fontId="4" fillId="0" borderId="0" xfId="20" applyFont="true" applyBorder="false" applyAlignment="true" applyProtection="false">
      <alignment horizontal="right"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9" fillId="0" borderId="0" xfId="20" applyFont="true" applyBorder="true" applyAlignment="true" applyProtection="false">
      <alignment horizontal="left" vertical="bottom" textRotation="0" wrapText="true" indent="0" shrinkToFit="false"/>
      <protection locked="true" hidden="false"/>
    </xf>
    <xf numFmtId="164" fontId="10" fillId="0" borderId="0" xfId="20" applyFont="true" applyBorder="false" applyAlignment="false" applyProtection="false">
      <alignment horizontal="general" vertical="bottom" textRotation="0" wrapText="false" indent="0" shrinkToFit="false"/>
      <protection locked="true" hidden="false"/>
    </xf>
    <xf numFmtId="164" fontId="10" fillId="3" borderId="0" xfId="20" applyFont="true" applyBorder="false" applyAlignment="true" applyProtection="false">
      <alignment horizontal="center" vertical="center" textRotation="0" wrapText="false" indent="0" shrinkToFit="false"/>
      <protection locked="true" hidden="false"/>
    </xf>
    <xf numFmtId="164" fontId="11" fillId="3" borderId="0" xfId="20" applyFont="true" applyBorder="true" applyAlignment="true" applyProtection="false">
      <alignment horizontal="left" vertical="bottom" textRotation="0" wrapText="true" indent="0" shrinkToFit="false"/>
      <protection locked="true" hidden="false"/>
    </xf>
    <xf numFmtId="164" fontId="12" fillId="0" borderId="0" xfId="20" applyFont="true" applyBorder="false" applyAlignment="true" applyProtection="false">
      <alignment horizontal="general" vertical="bottom" textRotation="0" wrapText="true" indent="0" shrinkToFit="false"/>
      <protection locked="true" hidden="false"/>
    </xf>
    <xf numFmtId="164" fontId="13" fillId="0" borderId="0" xfId="20" applyFont="true" applyBorder="false" applyAlignment="false" applyProtection="false">
      <alignment horizontal="general" vertical="bottom" textRotation="0" wrapText="false" indent="0" shrinkToFit="false"/>
      <protection locked="true" hidden="false"/>
    </xf>
    <xf numFmtId="164" fontId="10" fillId="0" borderId="6" xfId="20" applyFont="true" applyBorder="true" applyAlignment="false" applyProtection="false">
      <alignment horizontal="general" vertical="bottom" textRotation="0" wrapText="false" indent="0" shrinkToFit="false"/>
      <protection locked="true" hidden="false"/>
    </xf>
    <xf numFmtId="164" fontId="4" fillId="4" borderId="0" xfId="20" applyFont="true" applyBorder="false" applyAlignment="true" applyProtection="false">
      <alignment horizontal="right" vertical="bottom" textRotation="0" wrapText="false" indent="0" shrinkToFit="false"/>
      <protection locked="true" hidden="false"/>
    </xf>
    <xf numFmtId="164" fontId="4" fillId="0" borderId="6" xfId="20" applyFont="true" applyBorder="true" applyAlignment="true" applyProtection="false">
      <alignment horizontal="general" vertical="bottom" textRotation="0" wrapText="true" indent="0" shrinkToFit="false"/>
      <protection locked="true" hidden="false"/>
    </xf>
    <xf numFmtId="164" fontId="14" fillId="3" borderId="1" xfId="21" applyFont="true" applyBorder="true" applyAlignment="true" applyProtection="true">
      <alignment horizontal="general" vertical="bottom" textRotation="0" wrapText="false" indent="0" shrinkToFit="false"/>
      <protection locked="true" hidden="false"/>
    </xf>
    <xf numFmtId="164" fontId="4" fillId="0" borderId="6" xfId="20" applyFont="true" applyBorder="true" applyAlignment="true" applyProtection="false">
      <alignment horizontal="left" vertical="bottom" textRotation="0" wrapText="tru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4" fillId="0" borderId="0" xfId="20" applyFont="true" applyBorder="false" applyAlignment="true" applyProtection="false">
      <alignment horizontal="right" vertical="center" textRotation="0" wrapText="true" indent="0" shrinkToFit="false"/>
      <protection locked="true" hidden="false"/>
    </xf>
    <xf numFmtId="164" fontId="10" fillId="5" borderId="0" xfId="20" applyFont="true" applyBorder="false" applyAlignment="true" applyProtection="false">
      <alignment horizontal="center" vertical="center" textRotation="0" wrapText="false" indent="0" shrinkToFit="false"/>
      <protection locked="true" hidden="false"/>
    </xf>
    <xf numFmtId="164" fontId="10" fillId="5" borderId="0" xfId="20" applyFont="true" applyBorder="true" applyAlignment="true" applyProtection="false">
      <alignment horizontal="left" vertical="bottom" textRotation="0" wrapText="true" indent="0" shrinkToFit="false"/>
      <protection locked="true" hidden="false"/>
    </xf>
    <xf numFmtId="164" fontId="15" fillId="5" borderId="6" xfId="20" applyFont="true" applyBorder="true" applyAlignment="false" applyProtection="false">
      <alignment horizontal="general" vertical="bottom" textRotation="0" wrapText="false" indent="0" shrinkToFit="false"/>
      <protection locked="true" hidden="false"/>
    </xf>
    <xf numFmtId="164" fontId="4" fillId="5" borderId="6" xfId="20" applyFont="true" applyBorder="true" applyAlignment="false" applyProtection="false">
      <alignment horizontal="general" vertical="bottom" textRotation="0" wrapText="false" indent="0" shrinkToFit="false"/>
      <protection locked="true" hidden="false"/>
    </xf>
    <xf numFmtId="164" fontId="4" fillId="0" borderId="6" xfId="20" applyFont="true" applyBorder="true" applyAlignment="true" applyProtection="false">
      <alignment horizontal="general" vertical="top" textRotation="0" wrapText="true" indent="0" shrinkToFit="false"/>
      <protection locked="true" hidden="false"/>
    </xf>
    <xf numFmtId="164" fontId="10" fillId="6" borderId="0" xfId="20" applyFont="true" applyBorder="false" applyAlignment="true" applyProtection="false">
      <alignment horizontal="center" vertical="center" textRotation="0" wrapText="false" indent="0" shrinkToFit="false"/>
      <protection locked="true" hidden="false"/>
    </xf>
    <xf numFmtId="164" fontId="16" fillId="6" borderId="0" xfId="20" applyFont="true" applyBorder="true" applyAlignment="true" applyProtection="false">
      <alignment horizontal="left" vertical="center" textRotation="0" wrapText="true" indent="0" shrinkToFit="false"/>
      <protection locked="true" hidden="false"/>
    </xf>
    <xf numFmtId="164" fontId="4" fillId="6" borderId="6" xfId="20" applyFont="true" applyBorder="true" applyAlignment="false" applyProtection="false">
      <alignment horizontal="general" vertical="bottom" textRotation="0" wrapText="false" indent="0" shrinkToFit="false"/>
      <protection locked="true" hidden="false"/>
    </xf>
    <xf numFmtId="164" fontId="10" fillId="7" borderId="0" xfId="20" applyFont="true" applyBorder="false" applyAlignment="true" applyProtection="false">
      <alignment horizontal="center" vertical="center" textRotation="0" wrapText="true" indent="0" shrinkToFit="false"/>
      <protection locked="true" hidden="false"/>
    </xf>
    <xf numFmtId="164" fontId="10" fillId="7" borderId="0" xfId="20" applyFont="true" applyBorder="true" applyAlignment="true" applyProtection="false">
      <alignment horizontal="left" vertical="center" textRotation="0" wrapText="true" indent="0" shrinkToFit="false"/>
      <protection locked="true" hidden="false"/>
    </xf>
    <xf numFmtId="164" fontId="4" fillId="7" borderId="6" xfId="20" applyFont="true" applyBorder="true" applyAlignment="false" applyProtection="false">
      <alignment horizontal="general" vertical="bottom" textRotation="0" wrapText="false" indent="0" shrinkToFit="false"/>
      <protection locked="true" hidden="false"/>
    </xf>
    <xf numFmtId="164" fontId="15" fillId="0" borderId="6" xfId="20" applyFont="true" applyBorder="true" applyAlignment="true" applyProtection="false">
      <alignment horizontal="general" vertical="bottom" textRotation="0" wrapText="true" indent="0" shrinkToFit="false"/>
      <protection locked="true" hidden="false"/>
    </xf>
    <xf numFmtId="164" fontId="15" fillId="7" borderId="6" xfId="20" applyFont="true" applyBorder="true" applyAlignment="false" applyProtection="false">
      <alignment horizontal="general" vertical="bottom" textRotation="0" wrapText="false" indent="0" shrinkToFit="false"/>
      <protection locked="true" hidden="false"/>
    </xf>
    <xf numFmtId="165" fontId="0" fillId="0" borderId="0" xfId="15" applyFont="true" applyBorder="true" applyAlignment="true" applyProtection="true">
      <alignment horizontal="general" vertical="bottom" textRotation="0" wrapText="false" indent="0" shrinkToFit="false"/>
      <protection locked="true" hidden="false"/>
    </xf>
    <xf numFmtId="165" fontId="5" fillId="6" borderId="7" xfId="15" applyFont="true" applyBorder="true" applyAlignment="true" applyProtection="true">
      <alignment horizontal="general" vertical="bottom" textRotation="0" wrapText="false" indent="0" shrinkToFit="false"/>
      <protection locked="true" hidden="false"/>
    </xf>
    <xf numFmtId="165" fontId="0" fillId="6" borderId="8" xfId="15" applyFont="true" applyBorder="true" applyAlignment="true" applyProtection="true">
      <alignment horizontal="general" vertical="bottom" textRotation="0" wrapText="false" indent="0" shrinkToFit="false"/>
      <protection locked="true" hidden="false"/>
    </xf>
    <xf numFmtId="165" fontId="0" fillId="6" borderId="9" xfId="15" applyFont="true" applyBorder="true" applyAlignment="true" applyProtection="true">
      <alignment horizontal="general" vertical="bottom" textRotation="0" wrapText="false" indent="0" shrinkToFit="false"/>
      <protection locked="true" hidden="false"/>
    </xf>
    <xf numFmtId="165" fontId="5" fillId="6" borderId="10" xfId="15" applyFont="true" applyBorder="true" applyAlignment="true" applyProtection="true">
      <alignment horizontal="general" vertical="bottom" textRotation="0" wrapText="false" indent="0" shrinkToFit="false"/>
      <protection locked="true" hidden="false"/>
    </xf>
    <xf numFmtId="165" fontId="0" fillId="6" borderId="0" xfId="15" applyFont="true" applyBorder="true" applyAlignment="true" applyProtection="true">
      <alignment horizontal="general" vertical="bottom" textRotation="0" wrapText="false" indent="0" shrinkToFit="false"/>
      <protection locked="true" hidden="false"/>
    </xf>
    <xf numFmtId="165" fontId="0" fillId="6" borderId="11" xfId="15" applyFont="true" applyBorder="true" applyAlignment="true" applyProtection="true">
      <alignment horizontal="general" vertical="bottom" textRotation="0" wrapText="false" indent="0" shrinkToFit="false"/>
      <protection locked="true" hidden="false"/>
    </xf>
    <xf numFmtId="165" fontId="0" fillId="6" borderId="10" xfId="15" applyFont="true" applyBorder="true" applyAlignment="true" applyProtection="true">
      <alignment horizontal="general" vertical="bottom" textRotation="0" wrapText="false" indent="0" shrinkToFit="false"/>
      <protection locked="true" hidden="false"/>
    </xf>
    <xf numFmtId="165" fontId="5" fillId="6" borderId="12" xfId="15" applyFont="true" applyBorder="true" applyAlignment="true" applyProtection="true">
      <alignment horizontal="general" vertical="bottom" textRotation="0" wrapText="false" indent="0" shrinkToFit="false"/>
      <protection locked="true" hidden="false"/>
    </xf>
    <xf numFmtId="165" fontId="0" fillId="6" borderId="13" xfId="15" applyFont="true" applyBorder="true" applyAlignment="true" applyProtection="true">
      <alignment horizontal="general" vertical="bottom" textRotation="0" wrapText="false" indent="0" shrinkToFit="false"/>
      <protection locked="true" hidden="false"/>
    </xf>
    <xf numFmtId="165" fontId="0" fillId="6" borderId="14" xfId="15" applyFont="true" applyBorder="true" applyAlignment="true" applyProtection="true">
      <alignment horizontal="general" vertical="bottom" textRotation="0" wrapText="false" indent="0" shrinkToFit="false"/>
      <protection locked="true" hidden="false"/>
    </xf>
    <xf numFmtId="166" fontId="5" fillId="0" borderId="6" xfId="15" applyFont="true" applyBorder="true" applyAlignment="true" applyProtection="true">
      <alignment horizontal="center" vertical="bottom" textRotation="0" wrapText="false" indent="0" shrinkToFit="false"/>
      <protection locked="true" hidden="false"/>
    </xf>
    <xf numFmtId="166" fontId="5" fillId="0" borderId="6" xfId="15" applyFont="true" applyBorder="true" applyAlignment="true" applyProtection="true">
      <alignment horizontal="general" vertical="bottom" textRotation="0" wrapText="true" indent="0" shrinkToFit="false"/>
      <protection locked="true" hidden="false"/>
    </xf>
    <xf numFmtId="166" fontId="5" fillId="4" borderId="6" xfId="15" applyFont="true" applyBorder="true" applyAlignment="true" applyProtection="true">
      <alignment horizontal="center" vertical="bottom" textRotation="0" wrapText="false" indent="0" shrinkToFit="false"/>
      <protection locked="true" hidden="false"/>
    </xf>
    <xf numFmtId="166" fontId="6" fillId="0" borderId="6" xfId="15" applyFont="true" applyBorder="true" applyAlignment="true" applyProtection="true">
      <alignment horizontal="general" vertical="bottom" textRotation="0" wrapText="false" indent="0" shrinkToFit="false"/>
      <protection locked="true" hidden="false"/>
    </xf>
    <xf numFmtId="166" fontId="6" fillId="4" borderId="6" xfId="15" applyFont="true" applyBorder="true" applyAlignment="true" applyProtection="true">
      <alignment horizontal="center"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Excel Built-in Input" xfId="21"/>
  </cellStyles>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7030A0"/>
      <rgbColor rgb="FFFFF2CC"/>
      <rgbColor rgb="FFDEEBF7"/>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442800</xdr:colOff>
      <xdr:row>0</xdr:row>
      <xdr:rowOff>100800</xdr:rowOff>
    </xdr:from>
    <xdr:to>
      <xdr:col>11</xdr:col>
      <xdr:colOff>666360</xdr:colOff>
      <xdr:row>23</xdr:row>
      <xdr:rowOff>129240</xdr:rowOff>
    </xdr:to>
    <xdr:pic>
      <xdr:nvPicPr>
        <xdr:cNvPr id="1" name="Picture 1"/>
        <xdr:cNvPicPr/>
      </xdr:nvPicPr>
      <xdr:blipFill>
        <a:blip r:embed="rId1"/>
        <a:stretch/>
      </xdr:blipFill>
      <xdr:spPr>
        <a:xfrm>
          <a:off x="7811280" y="100800"/>
          <a:ext cx="5733000" cy="46288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65" zoomScaleNormal="165" zoomScalePageLayoutView="100" workbookViewId="0">
      <selection pane="topLeft" activeCell="L31" activeCellId="0" sqref="L31"/>
    </sheetView>
  </sheetViews>
  <sheetFormatPr defaultColWidth="10.875" defaultRowHeight="15.75" customHeight="false" zeroHeight="false" outlineLevelRow="0" outlineLevelCol="0"/>
  <cols>
    <col collapsed="false" customWidth="true" hidden="false" outlineLevel="0" max="1" min="1" style="1" width="27.63"/>
    <col collapsed="false" customWidth="true" hidden="false" outlineLevel="0" max="2" min="2" style="1" width="14"/>
    <col collapsed="false" customWidth="true" hidden="false" outlineLevel="0" max="3" min="3" style="1" width="17.63"/>
    <col collapsed="false" customWidth="false" hidden="false" outlineLevel="0" max="4" min="4" style="1" width="10.87"/>
    <col collapsed="false" customWidth="true" hidden="false" outlineLevel="0" max="5" min="5" style="1" width="17.13"/>
    <col collapsed="false" customWidth="false" hidden="false" outlineLevel="0" max="16384" min="6" style="1" width="10.87"/>
  </cols>
  <sheetData>
    <row r="1" customFormat="false" ht="15.75" hidden="false" customHeight="false" outlineLevel="0" collapsed="false">
      <c r="A1" s="2" t="s">
        <v>0</v>
      </c>
      <c r="B1" s="3" t="s">
        <v>1</v>
      </c>
      <c r="D1" s="2" t="s">
        <v>2</v>
      </c>
      <c r="E1" s="3" t="s">
        <v>3</v>
      </c>
    </row>
    <row r="2" customFormat="false" ht="15.75" hidden="false" customHeight="false" outlineLevel="0" collapsed="false">
      <c r="A2" s="2"/>
      <c r="B2" s="4" t="s">
        <v>4</v>
      </c>
      <c r="D2" s="2"/>
      <c r="E2" s="5" t="s">
        <v>5</v>
      </c>
    </row>
    <row r="3" customFormat="false" ht="15.75" hidden="false" customHeight="false" outlineLevel="0" collapsed="false">
      <c r="A3" s="2"/>
      <c r="B3" s="4" t="s">
        <v>6</v>
      </c>
    </row>
    <row r="4" customFormat="false" ht="15.75" hidden="false" customHeight="false" outlineLevel="0" collapsed="false">
      <c r="A4" s="2"/>
      <c r="B4" s="4" t="s">
        <v>7</v>
      </c>
    </row>
    <row r="5" customFormat="false" ht="15.75" hidden="false" customHeight="false" outlineLevel="0" collapsed="false">
      <c r="A5" s="2"/>
      <c r="B5" s="5" t="s">
        <v>8</v>
      </c>
    </row>
    <row r="7" customFormat="false" ht="15.75" hidden="false" customHeight="false" outlineLevel="0" collapsed="false">
      <c r="A7" s="6" t="s">
        <v>9</v>
      </c>
    </row>
    <row r="9" customFormat="false" ht="15.75" hidden="false" customHeight="false" outlineLevel="0" collapsed="false">
      <c r="A9" s="7" t="s">
        <v>10</v>
      </c>
      <c r="B9" s="7" t="s">
        <v>0</v>
      </c>
      <c r="C9" s="7" t="s">
        <v>2</v>
      </c>
    </row>
    <row r="10" customFormat="false" ht="15.75" hidden="false" customHeight="false" outlineLevel="0" collapsed="false">
      <c r="A10" s="8" t="s">
        <v>11</v>
      </c>
      <c r="B10" s="9"/>
      <c r="C10" s="9"/>
    </row>
    <row r="11" customFormat="false" ht="15.75" hidden="false" customHeight="false" outlineLevel="0" collapsed="false">
      <c r="A11" s="8" t="s">
        <v>12</v>
      </c>
      <c r="B11" s="9"/>
      <c r="C11" s="9"/>
    </row>
    <row r="12" customFormat="false" ht="15.75" hidden="false" customHeight="false" outlineLevel="0" collapsed="false">
      <c r="A12" s="8" t="s">
        <v>13</v>
      </c>
      <c r="B12" s="9"/>
      <c r="C12" s="9"/>
    </row>
    <row r="13" customFormat="false" ht="15.75" hidden="false" customHeight="false" outlineLevel="0" collapsed="false">
      <c r="A13" s="8" t="s">
        <v>14</v>
      </c>
      <c r="B13" s="9"/>
      <c r="C13" s="9"/>
    </row>
    <row r="14" customFormat="false" ht="15.75" hidden="false" customHeight="false" outlineLevel="0" collapsed="false">
      <c r="A14" s="8" t="s">
        <v>15</v>
      </c>
      <c r="B14" s="9"/>
      <c r="C14" s="9"/>
    </row>
    <row r="15" customFormat="false" ht="15.75" hidden="false" customHeight="false" outlineLevel="0" collapsed="false">
      <c r="A15" s="8" t="s">
        <v>16</v>
      </c>
      <c r="B15" s="9"/>
      <c r="C15" s="9"/>
    </row>
    <row r="16" customFormat="false" ht="15.75" hidden="false" customHeight="false" outlineLevel="0" collapsed="false">
      <c r="A16" s="8" t="s">
        <v>17</v>
      </c>
      <c r="B16" s="9"/>
      <c r="C16" s="9"/>
    </row>
    <row r="17" customFormat="false" ht="15.75" hidden="false" customHeight="false" outlineLevel="0" collapsed="false">
      <c r="A17" s="8" t="s">
        <v>18</v>
      </c>
      <c r="B17" s="9"/>
      <c r="C17" s="9"/>
    </row>
    <row r="18" customFormat="false" ht="15.75" hidden="false" customHeight="false" outlineLevel="0" collapsed="false">
      <c r="A18" s="8" t="s">
        <v>19</v>
      </c>
      <c r="B18" s="9"/>
      <c r="C18" s="9"/>
    </row>
    <row r="19" customFormat="false" ht="15.75" hidden="false" customHeight="false" outlineLevel="0" collapsed="false">
      <c r="A19" s="8" t="s">
        <v>20</v>
      </c>
      <c r="B19" s="9"/>
      <c r="C19" s="9"/>
    </row>
    <row r="20" customFormat="false" ht="15.75" hidden="false" customHeight="false" outlineLevel="0" collapsed="false">
      <c r="A20" s="8" t="s">
        <v>21</v>
      </c>
      <c r="B20" s="9"/>
      <c r="C20" s="9"/>
    </row>
    <row r="21" customFormat="false" ht="15.75" hidden="false" customHeight="false" outlineLevel="0" collapsed="false">
      <c r="A21" s="8" t="s">
        <v>22</v>
      </c>
      <c r="B21" s="9"/>
      <c r="C21" s="9"/>
    </row>
    <row r="22" customFormat="false" ht="15.75" hidden="false" customHeight="false" outlineLevel="0" collapsed="false">
      <c r="A22" s="8" t="s">
        <v>23</v>
      </c>
      <c r="B22" s="9"/>
      <c r="C22" s="9"/>
    </row>
    <row r="23" customFormat="false" ht="15.75" hidden="false" customHeight="false" outlineLevel="0" collapsed="false">
      <c r="A23" s="8" t="s">
        <v>24</v>
      </c>
      <c r="B23" s="9"/>
      <c r="C23" s="9"/>
    </row>
    <row r="24" customFormat="false" ht="15.75" hidden="false" customHeight="false" outlineLevel="0" collapsed="false">
      <c r="A24" s="8" t="s">
        <v>25</v>
      </c>
      <c r="B24" s="9"/>
      <c r="C24" s="9"/>
    </row>
    <row r="25" customFormat="false" ht="15.75" hidden="false" customHeight="false" outlineLevel="0" collapsed="false">
      <c r="A25" s="8" t="s">
        <v>26</v>
      </c>
      <c r="B25" s="9"/>
      <c r="C25" s="9"/>
    </row>
    <row r="26" customFormat="false" ht="15.75" hidden="false" customHeight="false" outlineLevel="0" collapsed="false">
      <c r="A26" s="8" t="s">
        <v>27</v>
      </c>
      <c r="B26" s="9"/>
      <c r="C26" s="9"/>
    </row>
  </sheetData>
  <mergeCells count="2">
    <mergeCell ref="A1:A5"/>
    <mergeCell ref="D1:D2"/>
  </mergeCells>
  <dataValidations count="2">
    <dataValidation allowBlank="true" errorStyle="stop" operator="between" showDropDown="false" showErrorMessage="true" showInputMessage="true" sqref="C10:C26" type="list">
      <formula1>$E$1:$E$2</formula1>
      <formula2>0</formula2>
    </dataValidation>
    <dataValidation allowBlank="true" errorStyle="stop" operator="between" showDropDown="false" showErrorMessage="true" showInputMessage="true" sqref="B10:B26" type="list">
      <formula1>$B$1:$B$5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5"/>
  <sheetViews>
    <sheetView showFormulas="false" showGridLines="true" showRowColHeaders="true" showZeros="true" rightToLeft="false" tabSelected="false" showOutlineSymbols="true" defaultGridColor="true" view="normal" topLeftCell="A1" colorId="64" zoomScale="165" zoomScaleNormal="165" zoomScalePageLayoutView="100" workbookViewId="0">
      <selection pane="topLeft" activeCell="A16" activeCellId="0" sqref="A16"/>
    </sheetView>
  </sheetViews>
  <sheetFormatPr defaultColWidth="10.875" defaultRowHeight="15.75" customHeight="false" zeroHeight="false" outlineLevelRow="0" outlineLevelCol="0"/>
  <cols>
    <col collapsed="false" customWidth="true" hidden="false" outlineLevel="0" max="1" min="1" style="1" width="42.5"/>
    <col collapsed="false" customWidth="true" hidden="false" outlineLevel="0" max="2" min="2" style="1" width="16.87"/>
    <col collapsed="false" customWidth="false" hidden="false" outlineLevel="0" max="16384" min="3" style="1" width="10.87"/>
  </cols>
  <sheetData>
    <row r="1" customFormat="false" ht="15.75" hidden="false" customHeight="true" outlineLevel="0" collapsed="false">
      <c r="A1" s="10" t="s">
        <v>28</v>
      </c>
      <c r="B1" s="10"/>
    </row>
    <row r="2" customFormat="false" ht="45" hidden="false" customHeight="true" outlineLevel="0" collapsed="false">
      <c r="A2" s="10"/>
      <c r="B2" s="10"/>
    </row>
    <row r="4" customFormat="false" ht="15.75" hidden="false" customHeight="false" outlineLevel="0" collapsed="false">
      <c r="A4" s="8" t="s">
        <v>11</v>
      </c>
      <c r="B4" s="11" t="n">
        <v>760</v>
      </c>
    </row>
    <row r="5" customFormat="false" ht="15.75" hidden="false" customHeight="false" outlineLevel="0" collapsed="false">
      <c r="A5" s="8" t="s">
        <v>12</v>
      </c>
      <c r="B5" s="11" t="n">
        <v>150</v>
      </c>
    </row>
    <row r="6" customFormat="false" ht="15.75" hidden="false" customHeight="false" outlineLevel="0" collapsed="false">
      <c r="A6" s="8" t="s">
        <v>13</v>
      </c>
      <c r="B6" s="11" t="n">
        <v>40</v>
      </c>
    </row>
    <row r="7" customFormat="false" ht="15.75" hidden="false" customHeight="false" outlineLevel="0" collapsed="false">
      <c r="A7" s="8" t="s">
        <v>29</v>
      </c>
      <c r="B7" s="11" t="n">
        <v>60</v>
      </c>
    </row>
    <row r="8" customFormat="false" ht="15.75" hidden="false" customHeight="false" outlineLevel="0" collapsed="false">
      <c r="A8" s="8" t="s">
        <v>15</v>
      </c>
      <c r="B8" s="11" t="n">
        <v>400</v>
      </c>
    </row>
    <row r="9" customFormat="false" ht="15.75" hidden="false" customHeight="false" outlineLevel="0" collapsed="false">
      <c r="A9" s="8" t="s">
        <v>16</v>
      </c>
      <c r="B9" s="11" t="n">
        <v>7500</v>
      </c>
    </row>
    <row r="10" customFormat="false" ht="15.75" hidden="false" customHeight="false" outlineLevel="0" collapsed="false">
      <c r="A10" s="8" t="s">
        <v>17</v>
      </c>
      <c r="B10" s="11" t="n">
        <v>70</v>
      </c>
    </row>
    <row r="11" customFormat="false" ht="15.75" hidden="false" customHeight="false" outlineLevel="0" collapsed="false">
      <c r="A11" s="8" t="s">
        <v>30</v>
      </c>
      <c r="B11" s="11" t="n">
        <v>800</v>
      </c>
    </row>
    <row r="12" customFormat="false" ht="15.75" hidden="false" customHeight="false" outlineLevel="0" collapsed="false">
      <c r="A12" s="8" t="s">
        <v>18</v>
      </c>
      <c r="B12" s="11" t="n">
        <v>230</v>
      </c>
    </row>
    <row r="13" customFormat="false" ht="15.75" hidden="false" customHeight="false" outlineLevel="0" collapsed="false">
      <c r="A13" s="8" t="s">
        <v>19</v>
      </c>
      <c r="B13" s="11" t="n">
        <v>20</v>
      </c>
    </row>
    <row r="14" customFormat="false" ht="15.75" hidden="false" customHeight="false" outlineLevel="0" collapsed="false">
      <c r="A14" s="8" t="s">
        <v>20</v>
      </c>
      <c r="B14" s="11" t="n">
        <v>1200</v>
      </c>
    </row>
    <row r="15" customFormat="false" ht="15.75" hidden="false" customHeight="false" outlineLevel="0" collapsed="false">
      <c r="A15" s="8" t="s">
        <v>21</v>
      </c>
      <c r="B15" s="11" t="n">
        <v>300</v>
      </c>
    </row>
    <row r="16" customFormat="false" ht="15.75" hidden="false" customHeight="false" outlineLevel="0" collapsed="false">
      <c r="A16" s="8" t="s">
        <v>22</v>
      </c>
      <c r="B16" s="11" t="n">
        <v>200</v>
      </c>
    </row>
    <row r="17" customFormat="false" ht="15.75" hidden="false" customHeight="false" outlineLevel="0" collapsed="false">
      <c r="A17" s="8" t="s">
        <v>31</v>
      </c>
      <c r="B17" s="11" t="n">
        <v>830</v>
      </c>
    </row>
    <row r="18" customFormat="false" ht="15.75" hidden="false" customHeight="false" outlineLevel="0" collapsed="false">
      <c r="A18" s="8" t="s">
        <v>24</v>
      </c>
      <c r="B18" s="11" t="n">
        <v>880</v>
      </c>
    </row>
    <row r="19" customFormat="false" ht="15.75" hidden="false" customHeight="false" outlineLevel="0" collapsed="false">
      <c r="A19" s="8" t="s">
        <v>25</v>
      </c>
      <c r="B19" s="11" t="n">
        <v>9200</v>
      </c>
    </row>
    <row r="20" customFormat="false" ht="15.75" hidden="false" customHeight="false" outlineLevel="0" collapsed="false">
      <c r="A20" s="8" t="s">
        <v>26</v>
      </c>
      <c r="B20" s="11" t="n">
        <v>690</v>
      </c>
    </row>
    <row r="21" customFormat="false" ht="15.75" hidden="false" customHeight="false" outlineLevel="0" collapsed="false">
      <c r="A21" s="8" t="s">
        <v>27</v>
      </c>
      <c r="B21" s="11" t="n">
        <v>110</v>
      </c>
    </row>
    <row r="23" customFormat="false" ht="31.5" hidden="false" customHeight="true" outlineLevel="0" collapsed="false">
      <c r="A23" s="12" t="s">
        <v>32</v>
      </c>
      <c r="B23" s="12"/>
    </row>
    <row r="24" customFormat="false" ht="31.5" hidden="false" customHeight="true" outlineLevel="0" collapsed="false">
      <c r="A24" s="12"/>
      <c r="B24" s="12"/>
    </row>
    <row r="25" customFormat="false" ht="15.75" hidden="false" customHeight="false" outlineLevel="0" collapsed="false">
      <c r="A25" s="13" t="s">
        <v>33</v>
      </c>
      <c r="B25" s="13"/>
    </row>
    <row r="26" customFormat="false" ht="15.75" hidden="false" customHeight="false" outlineLevel="0" collapsed="false">
      <c r="A26" s="14" t="s">
        <v>34</v>
      </c>
      <c r="B26" s="8"/>
    </row>
    <row r="27" customFormat="false" ht="15.75" hidden="false" customHeight="false" outlineLevel="0" collapsed="false">
      <c r="A27" s="15"/>
      <c r="B27" s="7" t="s">
        <v>35</v>
      </c>
    </row>
    <row r="28" customFormat="false" ht="15.75" hidden="false" customHeight="false" outlineLevel="0" collapsed="false">
      <c r="A28" s="8"/>
      <c r="B28" s="9"/>
    </row>
    <row r="29" customFormat="false" ht="15.75" hidden="false" customHeight="false" outlineLevel="0" collapsed="false">
      <c r="A29" s="8"/>
      <c r="B29" s="9"/>
    </row>
    <row r="30" customFormat="false" ht="15.75" hidden="false" customHeight="false" outlineLevel="0" collapsed="false">
      <c r="A30" s="14" t="s">
        <v>36</v>
      </c>
      <c r="B30" s="7"/>
    </row>
    <row r="31" customFormat="false" ht="15.75" hidden="false" customHeight="false" outlineLevel="0" collapsed="false">
      <c r="A31" s="8"/>
      <c r="B31" s="9"/>
    </row>
    <row r="32" customFormat="false" ht="15.75" hidden="false" customHeight="false" outlineLevel="0" collapsed="false">
      <c r="A32" s="8"/>
      <c r="B32" s="9"/>
    </row>
    <row r="33" customFormat="false" ht="15.75" hidden="false" customHeight="false" outlineLevel="0" collapsed="false">
      <c r="A33" s="8"/>
      <c r="B33" s="9"/>
    </row>
    <row r="34" customFormat="false" ht="15.75" hidden="false" customHeight="false" outlineLevel="0" collapsed="false">
      <c r="A34" s="8"/>
      <c r="B34" s="9"/>
    </row>
    <row r="35" customFormat="false" ht="15.75" hidden="false" customHeight="false" outlineLevel="0" collapsed="false">
      <c r="A35" s="14" t="s">
        <v>37</v>
      </c>
      <c r="B35" s="7"/>
    </row>
    <row r="36" customFormat="false" ht="15.75" hidden="false" customHeight="false" outlineLevel="0" collapsed="false">
      <c r="A36" s="8"/>
      <c r="B36" s="9"/>
    </row>
    <row r="37" customFormat="false" ht="15.75" hidden="false" customHeight="false" outlineLevel="0" collapsed="false">
      <c r="A37" s="14" t="s">
        <v>38</v>
      </c>
      <c r="B37" s="7"/>
    </row>
    <row r="39" customFormat="false" ht="15.75" hidden="false" customHeight="false" outlineLevel="0" collapsed="false">
      <c r="A39" s="16" t="s">
        <v>39</v>
      </c>
      <c r="B39" s="16"/>
    </row>
    <row r="40" customFormat="false" ht="15.75" hidden="false" customHeight="false" outlineLevel="0" collapsed="false">
      <c r="A40" s="17"/>
      <c r="B40" s="7" t="s">
        <v>35</v>
      </c>
    </row>
    <row r="41" customFormat="false" ht="15.75" hidden="false" customHeight="false" outlineLevel="0" collapsed="false">
      <c r="A41" s="9" t="s">
        <v>40</v>
      </c>
      <c r="B41" s="9"/>
    </row>
    <row r="42" customFormat="false" ht="15.75" hidden="false" customHeight="false" outlineLevel="0" collapsed="false">
      <c r="A42" s="9" t="s">
        <v>41</v>
      </c>
      <c r="B42" s="9"/>
    </row>
    <row r="43" customFormat="false" ht="15.75" hidden="false" customHeight="false" outlineLevel="0" collapsed="false">
      <c r="A43" s="9" t="s">
        <v>42</v>
      </c>
      <c r="B43" s="9"/>
    </row>
    <row r="44" customFormat="false" ht="15.75" hidden="false" customHeight="false" outlineLevel="0" collapsed="false">
      <c r="A44" s="7" t="s">
        <v>43</v>
      </c>
      <c r="B44" s="7"/>
    </row>
    <row r="46" customFormat="false" ht="15.75" hidden="false" customHeight="false" outlineLevel="0" collapsed="false">
      <c r="A46" s="16" t="s">
        <v>44</v>
      </c>
      <c r="B46" s="16"/>
    </row>
    <row r="48" customFormat="false" ht="15.75" hidden="false" customHeight="false" outlineLevel="0" collapsed="false">
      <c r="A48" s="13" t="s">
        <v>33</v>
      </c>
      <c r="B48" s="13"/>
    </row>
    <row r="49" customFormat="false" ht="15.75" hidden="false" customHeight="false" outlineLevel="0" collapsed="false">
      <c r="A49" s="13" t="s">
        <v>45</v>
      </c>
      <c r="B49" s="13"/>
    </row>
    <row r="50" customFormat="false" ht="15.75" hidden="false" customHeight="false" outlineLevel="0" collapsed="false">
      <c r="A50" s="14"/>
      <c r="B50" s="14" t="s">
        <v>35</v>
      </c>
    </row>
    <row r="51" customFormat="false" ht="15.75" hidden="false" customHeight="false" outlineLevel="0" collapsed="false">
      <c r="A51" s="18" t="s">
        <v>46</v>
      </c>
      <c r="B51" s="14"/>
    </row>
    <row r="52" customFormat="false" ht="15.75" hidden="false" customHeight="false" outlineLevel="0" collapsed="false">
      <c r="A52" s="19" t="s">
        <v>47</v>
      </c>
      <c r="B52" s="14"/>
    </row>
    <row r="53" customFormat="false" ht="15.75" hidden="false" customHeight="false" outlineLevel="0" collapsed="false">
      <c r="A53" s="8"/>
      <c r="B53" s="9"/>
    </row>
    <row r="54" customFormat="false" ht="15.75" hidden="false" customHeight="false" outlineLevel="0" collapsed="false">
      <c r="A54" s="8"/>
      <c r="B54" s="9"/>
    </row>
    <row r="55" customFormat="false" ht="15.75" hidden="false" customHeight="false" outlineLevel="0" collapsed="false">
      <c r="A55" s="8"/>
      <c r="B55" s="9"/>
    </row>
    <row r="56" customFormat="false" ht="15.75" hidden="false" customHeight="false" outlineLevel="0" collapsed="false">
      <c r="A56" s="14" t="s">
        <v>48</v>
      </c>
      <c r="B56" s="7"/>
    </row>
    <row r="57" customFormat="false" ht="15.75" hidden="false" customHeight="false" outlineLevel="0" collapsed="false">
      <c r="A57" s="19" t="s">
        <v>49</v>
      </c>
      <c r="B57" s="9"/>
    </row>
    <row r="58" customFormat="false" ht="15.75" hidden="false" customHeight="false" outlineLevel="0" collapsed="false">
      <c r="A58" s="8"/>
      <c r="B58" s="9"/>
    </row>
    <row r="59" customFormat="false" ht="15.75" hidden="false" customHeight="false" outlineLevel="0" collapsed="false">
      <c r="A59" s="14" t="s">
        <v>50</v>
      </c>
      <c r="B59" s="7"/>
    </row>
    <row r="60" customFormat="false" ht="15.75" hidden="false" customHeight="false" outlineLevel="0" collapsed="false">
      <c r="A60" s="14" t="s">
        <v>51</v>
      </c>
      <c r="B60" s="7"/>
    </row>
    <row r="61" customFormat="false" ht="15.75" hidden="false" customHeight="false" outlineLevel="0" collapsed="false">
      <c r="A61" s="18" t="s">
        <v>52</v>
      </c>
      <c r="B61" s="9"/>
    </row>
    <row r="62" customFormat="false" ht="15.75" hidden="false" customHeight="false" outlineLevel="0" collapsed="false">
      <c r="A62" s="19" t="s">
        <v>53</v>
      </c>
      <c r="B62" s="9"/>
    </row>
    <row r="63" customFormat="false" ht="15.75" hidden="false" customHeight="false" outlineLevel="0" collapsed="false">
      <c r="A63" s="8"/>
      <c r="B63" s="9"/>
    </row>
    <row r="64" customFormat="false" ht="15.75" hidden="false" customHeight="false" outlineLevel="0" collapsed="false">
      <c r="A64" s="8"/>
      <c r="B64" s="9"/>
    </row>
    <row r="65" customFormat="false" ht="15.75" hidden="false" customHeight="false" outlineLevel="0" collapsed="false">
      <c r="A65" s="8"/>
      <c r="B65" s="9"/>
    </row>
    <row r="66" customFormat="false" ht="15.75" hidden="false" customHeight="false" outlineLevel="0" collapsed="false">
      <c r="A66" s="14" t="s">
        <v>54</v>
      </c>
      <c r="B66" s="7"/>
    </row>
    <row r="67" customFormat="false" ht="15.75" hidden="false" customHeight="false" outlineLevel="0" collapsed="false">
      <c r="A67" s="19" t="s">
        <v>55</v>
      </c>
      <c r="B67" s="9"/>
    </row>
    <row r="68" customFormat="false" ht="15.75" hidden="false" customHeight="false" outlineLevel="0" collapsed="false">
      <c r="A68" s="8"/>
      <c r="B68" s="9"/>
    </row>
    <row r="69" customFormat="false" ht="15.75" hidden="false" customHeight="false" outlineLevel="0" collapsed="false">
      <c r="A69" s="14" t="s">
        <v>56</v>
      </c>
      <c r="B69" s="7"/>
    </row>
    <row r="70" customFormat="false" ht="15.75" hidden="false" customHeight="false" outlineLevel="0" collapsed="false">
      <c r="A70" s="14" t="s">
        <v>57</v>
      </c>
      <c r="B70" s="7"/>
    </row>
    <row r="71" customFormat="false" ht="15.75" hidden="false" customHeight="false" outlineLevel="0" collapsed="false">
      <c r="A71" s="18" t="s">
        <v>58</v>
      </c>
      <c r="B71" s="9"/>
    </row>
    <row r="72" customFormat="false" ht="15.75" hidden="false" customHeight="false" outlineLevel="0" collapsed="false">
      <c r="A72" s="8"/>
      <c r="B72" s="9"/>
    </row>
    <row r="73" customFormat="false" ht="15.75" hidden="false" customHeight="false" outlineLevel="0" collapsed="false">
      <c r="A73" s="8"/>
      <c r="B73" s="9"/>
    </row>
    <row r="74" customFormat="false" ht="15.75" hidden="false" customHeight="false" outlineLevel="0" collapsed="false">
      <c r="A74" s="14" t="s">
        <v>59</v>
      </c>
      <c r="B74" s="7"/>
    </row>
    <row r="75" customFormat="false" ht="15.75" hidden="false" customHeight="false" outlineLevel="0" collapsed="false">
      <c r="A75" s="14" t="s">
        <v>60</v>
      </c>
      <c r="B75" s="7"/>
    </row>
  </sheetData>
  <mergeCells count="7">
    <mergeCell ref="A1:B2"/>
    <mergeCell ref="A23:B23"/>
    <mergeCell ref="A25:B25"/>
    <mergeCell ref="A39:B39"/>
    <mergeCell ref="A46:B46"/>
    <mergeCell ref="A48:B48"/>
    <mergeCell ref="A49:B4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0" colorId="64" zoomScale="165" zoomScaleNormal="165" zoomScalePageLayoutView="100" workbookViewId="0">
      <selection pane="topLeft" activeCell="B15" activeCellId="0" sqref="B15"/>
    </sheetView>
  </sheetViews>
  <sheetFormatPr defaultColWidth="8.875" defaultRowHeight="15" customHeight="false" zeroHeight="false" outlineLevelRow="0" outlineLevelCol="0"/>
  <cols>
    <col collapsed="false" customWidth="true" hidden="false" outlineLevel="0" max="1" min="1" style="20" width="9.38"/>
    <col collapsed="false" customWidth="true" hidden="false" outlineLevel="0" max="2" min="2" style="21" width="42"/>
    <col collapsed="false" customWidth="true" hidden="false" outlineLevel="0" max="3" min="3" style="21" width="28.13"/>
    <col collapsed="false" customWidth="true" hidden="false" outlineLevel="0" max="4" min="4" style="21" width="26.51"/>
    <col collapsed="false" customWidth="false" hidden="false" outlineLevel="0" max="16384" min="5" style="21" width="8.87"/>
  </cols>
  <sheetData>
    <row r="1" customFormat="false" ht="22.5" hidden="false" customHeight="true" outlineLevel="0" collapsed="false">
      <c r="A1" s="22" t="s">
        <v>61</v>
      </c>
      <c r="B1" s="22"/>
      <c r="C1" s="22"/>
      <c r="D1" s="22"/>
    </row>
    <row r="2" customFormat="false" ht="15" hidden="false" customHeight="false" outlineLevel="0" collapsed="false">
      <c r="B2" s="23" t="s">
        <v>62</v>
      </c>
    </row>
    <row r="3" customFormat="false" ht="15" hidden="false" customHeight="false" outlineLevel="0" collapsed="false">
      <c r="B3" s="23"/>
    </row>
    <row r="4" customFormat="false" ht="81" hidden="false" customHeight="true" outlineLevel="0" collapsed="false">
      <c r="A4" s="24" t="s">
        <v>63</v>
      </c>
      <c r="B4" s="25" t="s">
        <v>64</v>
      </c>
      <c r="C4" s="25"/>
      <c r="D4" s="25"/>
    </row>
    <row r="5" customFormat="false" ht="15" hidden="false" customHeight="false" outlineLevel="0" collapsed="false">
      <c r="B5" s="26"/>
    </row>
    <row r="6" customFormat="false" ht="15" hidden="false" customHeight="false" outlineLevel="0" collapsed="false">
      <c r="B6" s="21" t="s">
        <v>65</v>
      </c>
      <c r="E6" s="27"/>
    </row>
    <row r="7" customFormat="false" ht="15" hidden="false" customHeight="false" outlineLevel="0" collapsed="false">
      <c r="B7" s="28" t="s">
        <v>66</v>
      </c>
      <c r="C7" s="28" t="s">
        <v>67</v>
      </c>
      <c r="D7" s="28" t="s">
        <v>68</v>
      </c>
    </row>
    <row r="8" customFormat="false" ht="46.25" hidden="false" customHeight="false" outlineLevel="0" collapsed="false">
      <c r="A8" s="29" t="s">
        <v>69</v>
      </c>
      <c r="B8" s="30" t="s">
        <v>70</v>
      </c>
      <c r="C8" s="31" t="s">
        <v>71</v>
      </c>
      <c r="D8" s="31" t="s">
        <v>72</v>
      </c>
    </row>
    <row r="9" customFormat="false" ht="79.5" hidden="false" customHeight="true" outlineLevel="0" collapsed="false">
      <c r="B9" s="32" t="s">
        <v>73</v>
      </c>
      <c r="C9" s="31" t="s">
        <v>74</v>
      </c>
      <c r="D9" s="31" t="s">
        <v>75</v>
      </c>
      <c r="G9" s="33"/>
    </row>
    <row r="10" customFormat="false" ht="35.05" hidden="false" customHeight="false" outlineLevel="0" collapsed="false">
      <c r="B10" s="30" t="s">
        <v>76</v>
      </c>
      <c r="C10" s="31" t="s">
        <v>77</v>
      </c>
      <c r="D10" s="31" t="s">
        <v>72</v>
      </c>
      <c r="G10" s="33"/>
    </row>
    <row r="11" customFormat="false" ht="23.85" hidden="false" customHeight="false" outlineLevel="0" collapsed="false">
      <c r="B11" s="30" t="s">
        <v>78</v>
      </c>
      <c r="C11" s="31" t="s">
        <v>79</v>
      </c>
      <c r="D11" s="31" t="s">
        <v>72</v>
      </c>
      <c r="G11" s="33"/>
    </row>
    <row r="12" customFormat="false" ht="35.05" hidden="false" customHeight="false" outlineLevel="0" collapsed="false">
      <c r="B12" s="30" t="s">
        <v>80</v>
      </c>
      <c r="C12" s="31" t="s">
        <v>81</v>
      </c>
      <c r="D12" s="31" t="s">
        <v>82</v>
      </c>
      <c r="G12" s="33"/>
    </row>
    <row r="13" customFormat="false" ht="35.05" hidden="false" customHeight="false" outlineLevel="0" collapsed="false">
      <c r="B13" s="32" t="s">
        <v>83</v>
      </c>
      <c r="C13" s="31" t="s">
        <v>84</v>
      </c>
      <c r="D13" s="31" t="s">
        <v>82</v>
      </c>
      <c r="G13" s="33"/>
    </row>
    <row r="14" customFormat="false" ht="15" hidden="false" customHeight="false" outlineLevel="0" collapsed="false">
      <c r="B14" s="34"/>
      <c r="D14" s="33"/>
    </row>
    <row r="15" customFormat="false" ht="123.75" hidden="false" customHeight="true" outlineLevel="0" collapsed="false">
      <c r="A15" s="35" t="s">
        <v>85</v>
      </c>
      <c r="B15" s="36" t="s">
        <v>86</v>
      </c>
      <c r="C15" s="36"/>
      <c r="D15" s="36"/>
    </row>
    <row r="16" customFormat="false" ht="15" hidden="false" customHeight="false" outlineLevel="0" collapsed="false">
      <c r="B16" s="21" t="s">
        <v>65</v>
      </c>
    </row>
    <row r="17" customFormat="false" ht="15" hidden="false" customHeight="false" outlineLevel="0" collapsed="false">
      <c r="B17" s="28" t="s">
        <v>66</v>
      </c>
      <c r="C17" s="28" t="s">
        <v>67</v>
      </c>
      <c r="D17" s="28" t="s">
        <v>68</v>
      </c>
      <c r="E17" s="27"/>
    </row>
    <row r="18" customFormat="false" ht="35.05" hidden="false" customHeight="false" outlineLevel="0" collapsed="false">
      <c r="B18" s="30" t="s">
        <v>87</v>
      </c>
      <c r="C18" s="37" t="s">
        <v>88</v>
      </c>
      <c r="D18" s="37" t="s">
        <v>75</v>
      </c>
    </row>
    <row r="19" customFormat="false" ht="46.25" hidden="false" customHeight="false" outlineLevel="0" collapsed="false">
      <c r="B19" s="30" t="s">
        <v>89</v>
      </c>
      <c r="C19" s="38" t="s">
        <v>90</v>
      </c>
      <c r="D19" s="37" t="s">
        <v>75</v>
      </c>
    </row>
    <row r="20" customFormat="false" ht="35.05" hidden="false" customHeight="false" outlineLevel="0" collapsed="false">
      <c r="B20" s="39" t="s">
        <v>91</v>
      </c>
      <c r="C20" s="38" t="s">
        <v>92</v>
      </c>
      <c r="D20" s="37" t="s">
        <v>75</v>
      </c>
    </row>
    <row r="21" customFormat="false" ht="57.45" hidden="false" customHeight="false" outlineLevel="0" collapsed="false">
      <c r="B21" s="30" t="s">
        <v>93</v>
      </c>
      <c r="C21" s="38" t="s">
        <v>94</v>
      </c>
      <c r="D21" s="37" t="s">
        <v>72</v>
      </c>
    </row>
    <row r="23" customFormat="false" ht="132.75" hidden="false" customHeight="true" outlineLevel="0" collapsed="false">
      <c r="A23" s="40" t="s">
        <v>95</v>
      </c>
      <c r="B23" s="41" t="s">
        <v>96</v>
      </c>
      <c r="C23" s="41"/>
      <c r="D23" s="41"/>
    </row>
    <row r="24" customFormat="false" ht="15" hidden="false" customHeight="false" outlineLevel="0" collapsed="false">
      <c r="B24" s="21" t="s">
        <v>65</v>
      </c>
      <c r="E24" s="27"/>
    </row>
    <row r="25" customFormat="false" ht="15" hidden="false" customHeight="false" outlineLevel="0" collapsed="false">
      <c r="B25" s="28" t="s">
        <v>66</v>
      </c>
      <c r="C25" s="28" t="s">
        <v>67</v>
      </c>
      <c r="D25" s="28" t="s">
        <v>68</v>
      </c>
    </row>
    <row r="26" customFormat="false" ht="23.85" hidden="false" customHeight="false" outlineLevel="0" collapsed="false">
      <c r="B26" s="30" t="s">
        <v>97</v>
      </c>
      <c r="C26" s="42" t="s">
        <v>71</v>
      </c>
      <c r="D26" s="42" t="s">
        <v>72</v>
      </c>
    </row>
    <row r="27" customFormat="false" ht="46.25" hidden="false" customHeight="false" outlineLevel="0" collapsed="false">
      <c r="B27" s="30" t="s">
        <v>98</v>
      </c>
      <c r="C27" s="42" t="s">
        <v>84</v>
      </c>
      <c r="D27" s="42" t="s">
        <v>82</v>
      </c>
    </row>
    <row r="28" customFormat="false" ht="70.5" hidden="false" customHeight="true" outlineLevel="0" collapsed="false">
      <c r="B28" s="30" t="s">
        <v>99</v>
      </c>
      <c r="C28" s="42"/>
      <c r="D28" s="42"/>
    </row>
    <row r="29" customFormat="false" ht="23.85" hidden="false" customHeight="false" outlineLevel="0" collapsed="false">
      <c r="B29" s="30" t="s">
        <v>100</v>
      </c>
      <c r="C29" s="42"/>
      <c r="D29" s="42"/>
    </row>
    <row r="30" customFormat="false" ht="35.05" hidden="false" customHeight="false" outlineLevel="0" collapsed="false">
      <c r="B30" s="30" t="s">
        <v>101</v>
      </c>
      <c r="C30" s="42"/>
      <c r="D30" s="42"/>
    </row>
    <row r="31" customFormat="false" ht="15" hidden="false" customHeight="false" outlineLevel="0" collapsed="false">
      <c r="B31" s="33"/>
      <c r="C31" s="27"/>
    </row>
    <row r="32" customFormat="false" ht="129.75" hidden="false" customHeight="true" outlineLevel="0" collapsed="false">
      <c r="A32" s="43" t="s">
        <v>102</v>
      </c>
      <c r="B32" s="44" t="s">
        <v>103</v>
      </c>
      <c r="C32" s="44"/>
      <c r="D32" s="44"/>
    </row>
    <row r="33" customFormat="false" ht="15" hidden="false" customHeight="false" outlineLevel="0" collapsed="false">
      <c r="B33" s="21" t="s">
        <v>65</v>
      </c>
      <c r="E33" s="27"/>
    </row>
    <row r="34" customFormat="false" ht="15" hidden="false" customHeight="false" outlineLevel="0" collapsed="false">
      <c r="B34" s="28" t="s">
        <v>66</v>
      </c>
      <c r="C34" s="28" t="s">
        <v>67</v>
      </c>
      <c r="D34" s="28" t="s">
        <v>68</v>
      </c>
    </row>
    <row r="35" customFormat="false" ht="23.85" hidden="false" customHeight="false" outlineLevel="0" collapsed="false">
      <c r="B35" s="30" t="s">
        <v>104</v>
      </c>
      <c r="C35" s="45"/>
      <c r="D35" s="45"/>
    </row>
    <row r="36" customFormat="false" ht="46.25" hidden="false" customHeight="false" outlineLevel="0" collapsed="false">
      <c r="B36" s="30" t="s">
        <v>105</v>
      </c>
      <c r="C36" s="45"/>
      <c r="D36" s="45"/>
    </row>
    <row r="37" customFormat="false" ht="23.85" hidden="false" customHeight="false" outlineLevel="0" collapsed="false">
      <c r="B37" s="32" t="s">
        <v>106</v>
      </c>
      <c r="C37" s="45"/>
      <c r="D37" s="45"/>
    </row>
    <row r="38" customFormat="false" ht="35.05" hidden="false" customHeight="false" outlineLevel="0" collapsed="false">
      <c r="B38" s="46" t="s">
        <v>107</v>
      </c>
      <c r="C38" s="47"/>
      <c r="D38" s="45"/>
    </row>
    <row r="39" customFormat="false" ht="35.05" hidden="false" customHeight="false" outlineLevel="0" collapsed="false">
      <c r="B39" s="30" t="s">
        <v>108</v>
      </c>
      <c r="C39" s="45"/>
      <c r="D39" s="45"/>
    </row>
  </sheetData>
  <mergeCells count="5">
    <mergeCell ref="A1:D1"/>
    <mergeCell ref="B4:D4"/>
    <mergeCell ref="B15:D15"/>
    <mergeCell ref="B23:D23"/>
    <mergeCell ref="B32:D32"/>
  </mergeCells>
  <dataValidations count="5">
    <dataValidation allowBlank="true" errorStyle="stop" operator="between" showDropDown="false" showErrorMessage="true" showInputMessage="true" sqref="C35:C39" type="list">
      <formula1>"Invoicing,Budgeting,Risk Management,Hiring New Staff,Financial Statement Analysis"</formula1>
      <formula2>0</formula2>
    </dataValidation>
    <dataValidation allowBlank="true" errorStyle="stop" operator="between" showDropDown="false" showErrorMessage="true" showInputMessage="true" sqref="C26:C30" type="list">
      <formula1>"Budgeting,Cash Flow Management,Financial Statement Analysis,Inventory Management,Financial Reporting"</formula1>
      <formula2>0</formula2>
    </dataValidation>
    <dataValidation allowBlank="true" errorStyle="stop" operator="between" showDropDown="false" showErrorMessage="true" showInputMessage="true" sqref="C8:C13" type="list">
      <formula1>"Budgeting,Asset Protection,Pricing Consideration,Inventory Management,Financial Reporting,Cash Flow Management"</formula1>
      <formula2>0</formula2>
    </dataValidation>
    <dataValidation allowBlank="true" errorStyle="stop" operator="between" showDropDown="false" showErrorMessage="true" showInputMessage="true" sqref="D8:D13 D18:D21 D26:D30 D35:D39" type="list">
      <formula1>"Management Accounting,Audit and Internal Control,Financial Accounting"</formula1>
      <formula2>0</formula2>
    </dataValidation>
    <dataValidation allowBlank="true" errorStyle="stop" operator="between" showDropDown="false" showErrorMessage="true" showInputMessage="true" sqref="C18:C21" type="list">
      <formula1>"Cost Control,Redundancy Implications,Cost Estimation,Legal and Compliance,Performance Incentives"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true" showOutlineSymbols="true" defaultGridColor="true" view="normal" topLeftCell="A1" colorId="64" zoomScale="165" zoomScaleNormal="165" zoomScalePageLayoutView="100" workbookViewId="0">
      <selection pane="topLeft" activeCell="G24" activeCellId="0" sqref="G24"/>
    </sheetView>
  </sheetViews>
  <sheetFormatPr defaultColWidth="10.875" defaultRowHeight="15.75" customHeight="false" zeroHeight="false" outlineLevelRow="0" outlineLevelCol="0"/>
  <cols>
    <col collapsed="false" customWidth="true" hidden="false" outlineLevel="0" max="1" min="1" style="48" width="13.62"/>
    <col collapsed="false" customWidth="true" hidden="false" outlineLevel="0" max="2" min="2" style="48" width="19.87"/>
    <col collapsed="false" customWidth="true" hidden="false" outlineLevel="0" max="3" min="3" style="48" width="12.37"/>
    <col collapsed="false" customWidth="true" hidden="false" outlineLevel="0" max="4" min="4" style="48" width="20.13"/>
    <col collapsed="false" customWidth="true" hidden="false" outlineLevel="0" max="5" min="5" style="48" width="13.38"/>
    <col collapsed="false" customWidth="false" hidden="false" outlineLevel="0" max="16384" min="6" style="48" width="10.87"/>
  </cols>
  <sheetData>
    <row r="1" customFormat="false" ht="15.75" hidden="false" customHeight="false" outlineLevel="0" collapsed="false">
      <c r="A1" s="49" t="s">
        <v>109</v>
      </c>
      <c r="B1" s="50"/>
      <c r="C1" s="50"/>
      <c r="D1" s="50"/>
      <c r="E1" s="50"/>
      <c r="F1" s="50"/>
      <c r="G1" s="51"/>
    </row>
    <row r="2" customFormat="false" ht="15.75" hidden="false" customHeight="false" outlineLevel="0" collapsed="false">
      <c r="A2" s="52" t="s">
        <v>110</v>
      </c>
      <c r="B2" s="53"/>
      <c r="C2" s="53"/>
      <c r="D2" s="53"/>
      <c r="E2" s="53"/>
      <c r="F2" s="53"/>
      <c r="G2" s="54"/>
    </row>
    <row r="3" customFormat="false" ht="15.75" hidden="false" customHeight="false" outlineLevel="0" collapsed="false">
      <c r="A3" s="55"/>
      <c r="B3" s="53"/>
      <c r="C3" s="53"/>
      <c r="D3" s="53"/>
      <c r="E3" s="53"/>
      <c r="F3" s="53"/>
      <c r="G3" s="54"/>
    </row>
    <row r="4" customFormat="false" ht="15.75" hidden="false" customHeight="false" outlineLevel="0" collapsed="false">
      <c r="A4" s="52" t="s">
        <v>111</v>
      </c>
      <c r="B4" s="53"/>
      <c r="C4" s="53"/>
      <c r="D4" s="53"/>
      <c r="E4" s="53"/>
      <c r="F4" s="53"/>
      <c r="G4" s="54"/>
    </row>
    <row r="5" customFormat="false" ht="15.75" hidden="false" customHeight="false" outlineLevel="0" collapsed="false">
      <c r="A5" s="55" t="s">
        <v>112</v>
      </c>
      <c r="B5" s="53"/>
      <c r="C5" s="53"/>
      <c r="D5" s="53"/>
      <c r="E5" s="53"/>
      <c r="F5" s="53"/>
      <c r="G5" s="54"/>
    </row>
    <row r="6" customFormat="false" ht="15.75" hidden="false" customHeight="false" outlineLevel="0" collapsed="false">
      <c r="A6" s="55" t="s">
        <v>113</v>
      </c>
      <c r="B6" s="53"/>
      <c r="C6" s="53"/>
      <c r="D6" s="53"/>
      <c r="E6" s="53"/>
      <c r="F6" s="53"/>
      <c r="G6" s="54"/>
    </row>
    <row r="7" customFormat="false" ht="15.75" hidden="false" customHeight="false" outlineLevel="0" collapsed="false">
      <c r="A7" s="55"/>
      <c r="B7" s="53"/>
      <c r="C7" s="53"/>
      <c r="D7" s="53"/>
      <c r="E7" s="53"/>
      <c r="F7" s="53"/>
      <c r="G7" s="54"/>
    </row>
    <row r="8" customFormat="false" ht="15.75" hidden="false" customHeight="false" outlineLevel="0" collapsed="false">
      <c r="A8" s="52" t="s">
        <v>114</v>
      </c>
      <c r="B8" s="53"/>
      <c r="C8" s="53"/>
      <c r="D8" s="53"/>
      <c r="E8" s="53"/>
      <c r="F8" s="53"/>
      <c r="G8" s="54"/>
    </row>
    <row r="9" customFormat="false" ht="15.75" hidden="false" customHeight="false" outlineLevel="0" collapsed="false">
      <c r="A9" s="55"/>
      <c r="B9" s="53"/>
      <c r="C9" s="53"/>
      <c r="D9" s="53"/>
      <c r="E9" s="53"/>
      <c r="F9" s="53"/>
      <c r="G9" s="54"/>
    </row>
    <row r="10" customFormat="false" ht="15.75" hidden="false" customHeight="false" outlineLevel="0" collapsed="false">
      <c r="A10" s="52" t="s">
        <v>115</v>
      </c>
      <c r="B10" s="53"/>
      <c r="C10" s="53"/>
      <c r="D10" s="53"/>
      <c r="E10" s="53"/>
      <c r="F10" s="53"/>
      <c r="G10" s="54"/>
    </row>
    <row r="11" customFormat="false" ht="15.75" hidden="false" customHeight="false" outlineLevel="0" collapsed="false">
      <c r="A11" s="55" t="s">
        <v>116</v>
      </c>
      <c r="B11" s="53"/>
      <c r="C11" s="53"/>
      <c r="D11" s="53"/>
      <c r="E11" s="53"/>
      <c r="F11" s="53"/>
      <c r="G11" s="54"/>
    </row>
    <row r="12" customFormat="false" ht="15.75" hidden="false" customHeight="false" outlineLevel="0" collapsed="false">
      <c r="A12" s="55"/>
      <c r="B12" s="53"/>
      <c r="C12" s="53"/>
      <c r="D12" s="53"/>
      <c r="E12" s="53"/>
      <c r="F12" s="53"/>
      <c r="G12" s="54"/>
    </row>
    <row r="13" customFormat="false" ht="15.75" hidden="false" customHeight="false" outlineLevel="0" collapsed="false">
      <c r="A13" s="52" t="s">
        <v>117</v>
      </c>
      <c r="B13" s="53"/>
      <c r="C13" s="53"/>
      <c r="D13" s="53"/>
      <c r="E13" s="53"/>
      <c r="F13" s="53"/>
      <c r="G13" s="54"/>
    </row>
    <row r="14" customFormat="false" ht="15.75" hidden="false" customHeight="false" outlineLevel="0" collapsed="false">
      <c r="A14" s="55"/>
      <c r="B14" s="53"/>
      <c r="C14" s="53"/>
      <c r="D14" s="53"/>
      <c r="E14" s="53"/>
      <c r="F14" s="53"/>
      <c r="G14" s="54"/>
    </row>
    <row r="15" customFormat="false" ht="15.75" hidden="false" customHeight="false" outlineLevel="0" collapsed="false">
      <c r="A15" s="52" t="s">
        <v>118</v>
      </c>
      <c r="B15" s="53"/>
      <c r="C15" s="53"/>
      <c r="D15" s="53"/>
      <c r="E15" s="53"/>
      <c r="F15" s="53"/>
      <c r="G15" s="54"/>
    </row>
    <row r="16" customFormat="false" ht="15.75" hidden="false" customHeight="false" outlineLevel="0" collapsed="false">
      <c r="A16" s="56" t="s">
        <v>119</v>
      </c>
      <c r="B16" s="57"/>
      <c r="C16" s="57"/>
      <c r="D16" s="57"/>
      <c r="E16" s="57"/>
      <c r="F16" s="57"/>
      <c r="G16" s="58"/>
    </row>
    <row r="19" customFormat="false" ht="15.75" hidden="false" customHeight="false" outlineLevel="0" collapsed="false">
      <c r="A19" s="6" t="s">
        <v>120</v>
      </c>
    </row>
    <row r="20" customFormat="false" ht="15.75" hidden="false" customHeight="false" outlineLevel="0" collapsed="false">
      <c r="A20" s="6"/>
    </row>
    <row r="21" customFormat="false" ht="15.75" hidden="false" customHeight="false" outlineLevel="0" collapsed="false">
      <c r="A21" s="59" t="s">
        <v>121</v>
      </c>
      <c r="B21" s="59" t="s">
        <v>122</v>
      </c>
      <c r="C21" s="59"/>
      <c r="D21" s="59" t="s">
        <v>123</v>
      </c>
      <c r="E21" s="59"/>
    </row>
    <row r="22" customFormat="false" ht="15.75" hidden="false" customHeight="false" outlineLevel="0" collapsed="false">
      <c r="A22" s="59"/>
      <c r="B22" s="60" t="s">
        <v>124</v>
      </c>
      <c r="C22" s="7" t="s">
        <v>125</v>
      </c>
      <c r="D22" s="60" t="s">
        <v>124</v>
      </c>
      <c r="E22" s="7" t="s">
        <v>125</v>
      </c>
    </row>
    <row r="23" customFormat="false" ht="15.75" hidden="false" customHeight="false" outlineLevel="0" collapsed="false">
      <c r="A23" s="7" t="s">
        <v>126</v>
      </c>
      <c r="B23" s="9" t="s">
        <v>127</v>
      </c>
      <c r="C23" s="9" t="n">
        <v>10000</v>
      </c>
      <c r="D23" s="9"/>
      <c r="E23" s="9"/>
      <c r="G23" s="48" t="s">
        <v>128</v>
      </c>
    </row>
    <row r="24" customFormat="false" ht="15.75" hidden="false" customHeight="false" outlineLevel="0" collapsed="false">
      <c r="A24" s="7" t="s">
        <v>129</v>
      </c>
      <c r="B24" s="9"/>
      <c r="C24" s="9"/>
      <c r="D24" s="9" t="s">
        <v>130</v>
      </c>
      <c r="E24" s="9" t="n">
        <v>4000</v>
      </c>
      <c r="G24" s="48" t="s">
        <v>131</v>
      </c>
    </row>
    <row r="25" customFormat="false" ht="15.75" hidden="false" customHeight="false" outlineLevel="0" collapsed="false">
      <c r="A25" s="7" t="s">
        <v>132</v>
      </c>
      <c r="B25" s="9" t="s">
        <v>133</v>
      </c>
      <c r="C25" s="9" t="n">
        <v>160000</v>
      </c>
      <c r="D25" s="9" t="s">
        <v>16</v>
      </c>
      <c r="E25" s="9" t="n">
        <v>100000</v>
      </c>
    </row>
    <row r="26" customFormat="false" ht="15.75" hidden="false" customHeight="false" outlineLevel="0" collapsed="false">
      <c r="A26" s="7" t="s">
        <v>134</v>
      </c>
      <c r="B26" s="9"/>
      <c r="C26" s="9"/>
      <c r="D26" s="9"/>
      <c r="E26" s="9"/>
      <c r="G26" s="48" t="s">
        <v>135</v>
      </c>
    </row>
    <row r="27" customFormat="false" ht="15.75" hidden="false" customHeight="false" outlineLevel="0" collapsed="false">
      <c r="A27" s="14" t="s">
        <v>136</v>
      </c>
      <c r="B27" s="61" t="n">
        <f aca="false">SUM(C23:C26)</f>
        <v>170000</v>
      </c>
      <c r="C27" s="61"/>
      <c r="D27" s="61" t="n">
        <f aca="false">SUM(E23:E26)</f>
        <v>104000</v>
      </c>
      <c r="E27" s="61"/>
    </row>
    <row r="28" customFormat="false" ht="15.75" hidden="false" customHeight="false" outlineLevel="0" collapsed="false">
      <c r="A28" s="62" t="s">
        <v>137</v>
      </c>
      <c r="B28" s="63" t="n">
        <f aca="false">B27-D27</f>
        <v>66000</v>
      </c>
      <c r="C28" s="63"/>
      <c r="D28" s="63"/>
      <c r="E28" s="63"/>
    </row>
  </sheetData>
  <mergeCells count="6">
    <mergeCell ref="A21:A22"/>
    <mergeCell ref="B21:C21"/>
    <mergeCell ref="D21:E21"/>
    <mergeCell ref="B27:C27"/>
    <mergeCell ref="D27:E27"/>
    <mergeCell ref="B28:E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2B752A7F7B045A654E76EE94D2D3A" ma:contentTypeVersion="3" ma:contentTypeDescription="Create a new document." ma:contentTypeScope="" ma:versionID="4215b9e704be5d161ba1aad4d49aca4d">
  <xsd:schema xmlns:xsd="http://www.w3.org/2001/XMLSchema" xmlns:xs="http://www.w3.org/2001/XMLSchema" xmlns:p="http://schemas.microsoft.com/office/2006/metadata/properties" xmlns:ns2="fae806f6-f023-46bd-a0b6-7a3e9b23c51c" targetNamespace="http://schemas.microsoft.com/office/2006/metadata/properties" ma:root="true" ma:fieldsID="a5b5da177a5f3fa3ffbc571da91d5252" ns2:_="">
    <xsd:import namespace="fae806f6-f023-46bd-a0b6-7a3e9b23c5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e806f6-f023-46bd-a0b6-7a3e9b23c5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CE1F14-50DD-4F3F-AFBE-3DF0525F6F0F}"/>
</file>

<file path=customXml/itemProps2.xml><?xml version="1.0" encoding="utf-8"?>
<ds:datastoreItem xmlns:ds="http://schemas.openxmlformats.org/officeDocument/2006/customXml" ds:itemID="{0E4FA69A-AAF1-4DEB-92CC-F97F18BF2B9C}"/>
</file>

<file path=customXml/itemProps3.xml><?xml version="1.0" encoding="utf-8"?>
<ds:datastoreItem xmlns:ds="http://schemas.openxmlformats.org/officeDocument/2006/customXml" ds:itemID="{AFC0B50B-5813-4958-B9F3-8364B1F41BCB}"/>
</file>

<file path=docProps/app.xml><?xml version="1.0" encoding="utf-8"?>
<Properties xmlns="http://schemas.openxmlformats.org/officeDocument/2006/extended-properties" xmlns:vt="http://schemas.openxmlformats.org/officeDocument/2006/docPropsVTypes">
  <Template/>
  <TotalTime>38</TotalTime>
  <Application>LibreOffice/26.2.0.3$Linux_X86_64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2023-11-23T09:30:11Z</dcterms:created>
  <dc:creator>Phuc Nguyen</dc:creator>
  <dc:description/>
  <dc:language>en-AU</dc:language>
  <cp:lastModifiedBy/>
  <dcterms:modified xsi:type="dcterms:W3CDTF">2026-02-25T17:48:52Z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0x010100F202B752A7F7B045A654E76EE94D2D3A</vt:lpwstr>
  </property>
  <property fmtid="{D5CDD505-2E9C-101B-9397-08002B2CF9AE}" pid="4" name="MediaServiceImageTags">
    <vt:lpwstr/>
  </property>
  <property fmtid="{D5CDD505-2E9C-101B-9397-08002B2CF9AE}" pid="5" name="Order">
    <vt:r8>2900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0</vt:bool>
  </property>
</Properties>
</file>