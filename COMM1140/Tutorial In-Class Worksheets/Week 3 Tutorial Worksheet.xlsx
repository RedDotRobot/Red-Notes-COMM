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docProps/custom.xml" ContentType="application/vnd.openxmlformats-officedocument.custom-properties+xml"/>
  <Override PartName="/xl/workbook.xml" ContentType="application/vnd.openxmlformats-officedocument.spreadsheetml.sheet.main+xml"/>
  <Override PartName="/docProps/core.xml" ContentType="application/vnd.openxmlformats-package.core-properties+xml"/>
  <Override PartName="/xl/worksheets/sheet2.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customXml/itemProps3.xml" ContentType="application/vnd.openxmlformats-officedocument.customXmlProperties+xml"/>
  <Override PartName="/customXml/itemProps1.xml" ContentType="application/vnd.openxmlformats-officedocument.customXmlProperties+xml"/>
  <Override PartName="/customXml/itemProps2.xml" ContentType="application/vnd.openxmlformats-officedocument.customXmlProperties+xml"/>
  <Override PartName="/xl/drawings/drawing1.xml" ContentType="application/vnd.openxmlformats-officedocument.drawing+xml"/>
  <Override PartName="/xl/worksheets/sheet3.xml" ContentType="application/vnd.openxmlformats-officedocument.spreadsheetml.worksheet+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custom-properties" Target="docProps/custom.xml"/><Relationship  Id="rId4"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2"/>
  </bookViews>
  <sheets>
    <sheet name="Homework Problem" sheetId="1" state="visible" r:id="rId4"/>
    <sheet name="Video Activity" sheetId="2" state="visible" r:id="rId5"/>
    <sheet name="Tutorial Activity" sheetId="3" state="visible" r:id="rId6"/>
  </sheets>
  <calcPr/>
  <extLst>
    <ext xmlns:x15="http://schemas.microsoft.com/office/spreadsheetml/2010/11/main" uri="{D0CA8CA8-9F24-4464-BF8E-62219DCF47F9}"/>
  </extLst>
</workbook>
</file>

<file path=xl/sharedStrings.xml><?xml version="1.0" encoding="utf-8"?>
<sst xmlns="http://schemas.openxmlformats.org/spreadsheetml/2006/main" count="100" uniqueCount="100">
  <si>
    <t>Transaction</t>
  </si>
  <si>
    <t>Assets</t>
  </si>
  <si>
    <t>Liabilities</t>
  </si>
  <si>
    <t>Equity</t>
  </si>
  <si>
    <t xml:space="preserve">Details of Retained Profits</t>
  </si>
  <si>
    <t>Cash</t>
  </si>
  <si>
    <t>Inventory</t>
  </si>
  <si>
    <t xml:space="preserve">Accounts receivable</t>
  </si>
  <si>
    <t>Supplies</t>
  </si>
  <si>
    <t xml:space="preserve">Prepaid insurance</t>
  </si>
  <si>
    <t xml:space="preserve">Accounts payable</t>
  </si>
  <si>
    <t xml:space="preserve">Wages payable</t>
  </si>
  <si>
    <t xml:space="preserve">Unearned revenue</t>
  </si>
  <si>
    <t xml:space="preserve">Electricity payable</t>
  </si>
  <si>
    <t xml:space="preserve">Share Capital</t>
  </si>
  <si>
    <t xml:space="preserve">Retained Profits</t>
  </si>
  <si>
    <t>#1</t>
  </si>
  <si>
    <t>#2</t>
  </si>
  <si>
    <t>#3</t>
  </si>
  <si>
    <t xml:space="preserve">Sales revenue</t>
  </si>
  <si>
    <t>#4</t>
  </si>
  <si>
    <t>#5</t>
  </si>
  <si>
    <t>Dividends</t>
  </si>
  <si>
    <t>#6</t>
  </si>
  <si>
    <t>#7</t>
  </si>
  <si>
    <t xml:space="preserve">Wages expense</t>
  </si>
  <si>
    <t>#8</t>
  </si>
  <si>
    <t>#9</t>
  </si>
  <si>
    <t xml:space="preserve">Electricity expense</t>
  </si>
  <si>
    <t>#10</t>
  </si>
  <si>
    <t xml:space="preserve">Supplies expense</t>
  </si>
  <si>
    <t>#11</t>
  </si>
  <si>
    <t xml:space="preserve">Insurance expense</t>
  </si>
  <si>
    <t>Total</t>
  </si>
  <si>
    <t xml:space="preserve">Net Total</t>
  </si>
  <si>
    <t xml:space="preserve">Why it's important for business managers to understand how financial statements are prepared - an example that demonstrates the importance of identifying and correcting errors in financial statement preparation</t>
  </si>
  <si>
    <t xml:space="preserve">Case Study: Milk Run 
Background:
Milk Run is an Australian delivery service that allows groceries to be delivered to your door in 20 minutes. The company is technically a start-up, although it is owned by supermarket giant Woolworths. 
</t>
  </si>
  <si>
    <t xml:space="preserve">You are the CFO of the Australia division and are very happy with the 150% sales growth recorded in 2023. You are asked to review the financial statements prepared by head office, which are provided below. 2022 information is provided for comparative purposes</t>
  </si>
  <si>
    <t>Revenue</t>
  </si>
  <si>
    <t xml:space="preserve">Cost of Goods Sold</t>
  </si>
  <si>
    <t xml:space="preserve">Gross Profit</t>
  </si>
  <si>
    <t xml:space="preserve">Operating Expenses:</t>
  </si>
  <si>
    <t>Depreciation</t>
  </si>
  <si>
    <t>Wages</t>
  </si>
  <si>
    <t>Rent</t>
  </si>
  <si>
    <t xml:space="preserve">Marketing Expenses</t>
  </si>
  <si>
    <t xml:space="preserve">Interest Expense</t>
  </si>
  <si>
    <t xml:space="preserve">Profit before Tax</t>
  </si>
  <si>
    <t xml:space="preserve">Income Tax Expense</t>
  </si>
  <si>
    <t xml:space="preserve">Net Profit</t>
  </si>
  <si>
    <t xml:space="preserve">You are required to present to the Board of Woolworths on the financial performance of Milk Run next week. The Board have stated 'We can see that underlying financial performance has improved and the subsidary returning a profit for the first time. They would however, like to ask you the following questions as the CFO:</t>
  </si>
  <si>
    <t xml:space="preserve">Linda mentioned that one key performance metric for her is average customer spend. What other financial performance metrics could be considered important for her to monitor?</t>
  </si>
  <si>
    <t xml:space="preserve">What other non-financial performance indicators do you take into consideration that may impact on revenue?</t>
  </si>
  <si>
    <t xml:space="preserve">Linda wants to double the marketing expenditure in 2024. How would you use financial information to justify this decision to the Board?</t>
  </si>
  <si>
    <t xml:space="preserve">Part a</t>
  </si>
  <si>
    <t xml:space="preserve">Balance Check</t>
  </si>
  <si>
    <t>Inventories</t>
  </si>
  <si>
    <t xml:space="preserve">Prepaid rent</t>
  </si>
  <si>
    <t xml:space="preserve">Interest receivable</t>
  </si>
  <si>
    <t xml:space="preserve">Long-term deposit</t>
  </si>
  <si>
    <t xml:space="preserve">Property, Plant &amp; Equipment</t>
  </si>
  <si>
    <t xml:space="preserve">Acc. Depreciation</t>
  </si>
  <si>
    <t xml:space="preserve">Accounts Payable</t>
  </si>
  <si>
    <t xml:space="preserve">Income tax payable</t>
  </si>
  <si>
    <t>Borrowings</t>
  </si>
  <si>
    <t xml:space="preserve">Opening balance (1/7/2022)</t>
  </si>
  <si>
    <t xml:space="preserve">Rent expense</t>
  </si>
  <si>
    <t xml:space="preserve">Cost of goods sold</t>
  </si>
  <si>
    <t xml:space="preserve">Interest revenue</t>
  </si>
  <si>
    <t>Taxes</t>
  </si>
  <si>
    <t xml:space="preserve">Depreciation expense</t>
  </si>
  <si>
    <t xml:space="preserve">Closing balance (30/6/2023)</t>
  </si>
  <si>
    <t xml:space="preserve">Part b</t>
  </si>
  <si>
    <t xml:space="preserve">Part c</t>
  </si>
  <si>
    <t xml:space="preserve">JB Hi-Fi</t>
  </si>
  <si>
    <t xml:space="preserve">Income statement for the year ended 30 June 2023</t>
  </si>
  <si>
    <t xml:space="preserve">Balance sheet as at 30 June 2023</t>
  </si>
  <si>
    <t xml:space="preserve">$ million</t>
  </si>
  <si>
    <t>ASSETS</t>
  </si>
  <si>
    <t>COGS</t>
  </si>
  <si>
    <t xml:space="preserve">Current assets</t>
  </si>
  <si>
    <t xml:space="preserve">Profit before tax</t>
  </si>
  <si>
    <t xml:space="preserve">Total current assets</t>
  </si>
  <si>
    <t xml:space="preserve">Income tax expense</t>
  </si>
  <si>
    <t xml:space="preserve">Non-current assets</t>
  </si>
  <si>
    <t xml:space="preserve">Net profit</t>
  </si>
  <si>
    <t xml:space="preserve">Opening Retained Earnings</t>
  </si>
  <si>
    <t xml:space="preserve">Accumulated Depreciation</t>
  </si>
  <si>
    <t xml:space="preserve">Closing Retained Earnings</t>
  </si>
  <si>
    <t xml:space="preserve">Total non-current assets</t>
  </si>
  <si>
    <t xml:space="preserve">Total assets</t>
  </si>
  <si>
    <t>LIABILITIES</t>
  </si>
  <si>
    <t xml:space="preserve">Current liabilities</t>
  </si>
  <si>
    <t xml:space="preserve">Total current liabilities</t>
  </si>
  <si>
    <t xml:space="preserve">Non-current liabilities</t>
  </si>
  <si>
    <t xml:space="preserve">Total non-current liabilities</t>
  </si>
  <si>
    <t xml:space="preserve">Total liabilities</t>
  </si>
  <si>
    <t>EQUITY</t>
  </si>
  <si>
    <t xml:space="preserve">Total equity</t>
  </si>
  <si>
    <t xml:space="preserve">Total liabilities and equity</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</si>
</sst>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_(* #,##0_);_(* &quot;(&quot;#,##0&quot;)&quot;;_(* &quot;-&quot;??_);_(@_)"/>
  </numFmts>
  <fonts count="11">
    <font>
      <sz val="12.000000"/>
      <color theme="1"/>
      <name val="Calibri"/>
      <scheme val="minor"/>
    </font>
    <font>
      <sz val="12.000000"/>
      <color rgb="FF3F3F76"/>
      <name val="Calibri"/>
      <scheme val="minor"/>
    </font>
    <font>
      <sz val="11.000000"/>
      <color theme="1"/>
      <name val="Calibri"/>
      <scheme val="minor"/>
    </font>
    <font>
      <b/>
      <sz val="12.000000"/>
      <color theme="1"/>
      <name val="Calibri"/>
      <scheme val="minor"/>
    </font>
    <font>
      <b/>
      <sz val="11.000000"/>
      <color indexed="2"/>
      <name val="Calibri"/>
      <scheme val="minor"/>
    </font>
    <font>
      <b/>
      <sz val="11.000000"/>
      <color theme="1"/>
      <name val="Calibri"/>
      <scheme val="minor"/>
    </font>
    <font>
      <sz val="9.600000"/>
      <color rgb="FF374151"/>
      <name val="Söhne"/>
    </font>
    <font>
      <b/>
      <sz val="9.600000"/>
      <color rgb="FF374151"/>
      <name val="Söhne"/>
    </font>
    <font>
      <sz val="11.000000"/>
      <color indexed="2"/>
      <name val="Calibri"/>
      <scheme val="minor"/>
    </font>
    <font>
      <b/>
      <sz val="12.000000"/>
      <color indexed="2"/>
      <name val="Calibri"/>
      <scheme val="minor"/>
    </font>
    <font>
      <b/>
      <i/>
      <sz val="12.000000"/>
      <color rgb="FF7030A0"/>
      <name val="Calibri"/>
      <scheme val="minor"/>
    </font>
  </fonts>
  <fills count="15">
    <fill>
      <patternFill patternType="none"/>
    </fill>
    <fill>
      <patternFill patternType="gray125"/>
    </fill>
    <fill>
      <patternFill patternType="solid">
        <fgColor indexed="47"/>
      </patternFill>
    </fill>
    <fill>
      <patternFill patternType="solid">
        <fgColor theme="9" tint="0.79998168889431442"/>
      </patternFill>
    </fill>
    <fill>
      <patternFill patternType="solid">
        <fgColor theme="5" tint="0.79998168889431442"/>
      </patternFill>
    </fill>
    <fill>
      <patternFill patternType="solid">
        <fgColor theme="7" tint="0.79998168889431442"/>
      </patternFill>
    </fill>
    <fill>
      <patternFill patternType="solid">
        <fgColor theme="8" tint="0.79998168889431442"/>
      </patternFill>
    </fill>
    <fill>
      <patternFill patternType="solid">
        <fgColor theme="3" tint="0.79998168889431442"/>
      </patternFill>
    </fill>
    <fill>
      <patternFill patternType="solid">
        <fgColor theme="5" tint="0.79998168889431442"/>
        <bgColor theme="5" tint="0.79998168889431442"/>
      </patternFill>
    </fill>
    <fill>
      <patternFill patternType="solid">
        <fgColor theme="7" tint="0.79998168889431442"/>
        <bgColor theme="7" tint="0.79998168889431442"/>
      </patternFill>
    </fill>
    <fill>
      <patternFill patternType="solid">
        <fgColor theme="8" tint="0.79998168889431442"/>
        <bgColor theme="8" tint="0.79998168889431442"/>
      </patternFill>
    </fill>
    <fill>
      <patternFill patternType="solid">
        <fgColor rgb="FFF7F7F8"/>
      </patternFill>
    </fill>
    <fill>
      <patternFill patternType="solid">
        <fgColor theme="9" tint="0.79998168889431442"/>
        <bgColor theme="9" tint="0.79998168889431442"/>
      </patternFill>
    </fill>
    <fill>
      <patternFill patternType="solid">
        <fgColor indexed="5"/>
      </patternFill>
    </fill>
    <fill>
      <patternFill patternType="solid">
        <fgColor indexed="5"/>
        <bgColor indexed="5"/>
      </patternFill>
    </fill>
  </fills>
  <borders count="17">
    <border>
      <left style="none"/>
      <right style="none"/>
      <top style="none"/>
      <bottom style="none"/>
      <diagonal style="none"/>
    </border>
    <border>
      <left style="thin">
        <color rgb="FF7F7F7F"/>
      </left>
      <right style="thin">
        <color rgb="FF7F7F7F"/>
      </right>
      <top style="thin">
        <color rgb="FF7F7F7F"/>
      </top>
      <bottom style="thin">
        <color rgb="FF7F7F7F"/>
      </bottom>
      <diagonal style="none"/>
    </border>
    <border>
      <left style="thin">
        <color auto="1"/>
      </left>
      <right style="thin">
        <color auto="1"/>
      </right>
      <top style="thin">
        <color auto="1"/>
      </top>
      <bottom style="thin">
        <color auto="1"/>
      </bottom>
      <diagonal style="none"/>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none"/>
      <top style="thin">
        <color auto="1"/>
      </top>
      <bottom style="thin">
        <color auto="1"/>
      </bottom>
      <diagonal style="none"/>
    </border>
    <border>
      <left style="none"/>
      <right style="none"/>
      <top style="thin">
        <color auto="1"/>
      </top>
      <bottom style="thin">
        <color auto="1"/>
      </bottom>
      <diagonal style="none"/>
    </border>
    <border>
      <left style="none"/>
      <right style="thin">
        <color auto="1"/>
      </right>
      <top style="thin">
        <color auto="1"/>
      </top>
      <bottom style="thin">
        <color auto="1"/>
      </bottom>
      <diagonal style="none"/>
    </border>
    <border>
      <left style="thin">
        <color auto="1"/>
      </left>
      <right style="thin">
        <color auto="1"/>
      </right>
      <top style="thin">
        <color auto="1"/>
      </top>
      <bottom style="none"/>
      <diagonal style="none"/>
    </border>
    <border>
      <left style="thin">
        <color auto="1"/>
      </left>
      <right style="thin">
        <color auto="1"/>
      </right>
      <top style="none"/>
      <bottom style="none"/>
      <diagonal style="none"/>
    </border>
    <border>
      <left style="thin">
        <color auto="1"/>
      </left>
      <right style="thin">
        <color auto="1"/>
      </right>
      <top style="none"/>
      <bottom style="thin">
        <color auto="1"/>
      </bottom>
      <diagonal style="none"/>
    </border>
    <border>
      <left style="thin">
        <color auto="1"/>
      </left>
      <right/>
      <top style="thin">
        <color auto="1"/>
      </top>
      <bottom style="thin">
        <color auto="1"/>
      </bottom>
      <diagonal style="none"/>
    </border>
    <border>
      <left/>
      <right/>
      <top style="thin">
        <color auto="1"/>
      </top>
      <bottom style="thin">
        <color auto="1"/>
      </bottom>
      <diagonal style="none"/>
    </border>
    <border>
      <left/>
      <right style="thin">
        <color auto="1"/>
      </right>
      <top style="thin">
        <color auto="1"/>
      </top>
      <bottom style="thin">
        <color auto="1"/>
      </bottom>
      <diagonal style="none"/>
    </border>
  </borders>
  <cellStyleXfs count="4">
    <xf fontId="0" fillId="0" borderId="0" numFmtId="0" applyNumberFormat="1" applyFont="1" applyFill="1" applyBorder="1"/>
    <xf fontId="0" fillId="0" borderId="0" numFmtId="164" applyNumberFormat="1" applyFont="0" applyFill="0" applyBorder="0" applyProtection="0"/>
    <xf fontId="1" fillId="2" borderId="1" numFmtId="0" applyNumberFormat="0" applyFont="1" applyFill="1" applyBorder="1" applyProtection="0"/>
    <xf fontId="2" fillId="0" borderId="0" numFmtId="0" applyNumberFormat="1" applyFont="1" applyFill="1" applyBorder="1"/>
  </cellStyleXfs>
  <cellXfs count="109">
    <xf fontId="0" fillId="0" borderId="0" numFmtId="0" xfId="0"/>
    <xf fontId="0" fillId="0" borderId="0" numFmtId="165" xfId="1" applyNumberFormat="1"/>
    <xf fontId="3" fillId="3" borderId="2" numFmtId="165" xfId="1" applyNumberFormat="1" applyFont="1" applyFill="1" applyBorder="1" applyAlignment="1">
      <alignment horizontal="center" vertical="center" wrapText="1"/>
    </xf>
    <xf fontId="3" fillId="4" borderId="2" numFmtId="165" xfId="1" applyNumberFormat="1" applyFont="1" applyFill="1" applyBorder="1" applyAlignment="1">
      <alignment horizontal="center" wrapText="1"/>
    </xf>
    <xf fontId="3" fillId="5" borderId="2" numFmtId="165" xfId="1" applyNumberFormat="1" applyFont="1" applyFill="1" applyBorder="1" applyAlignment="1">
      <alignment horizontal="center" wrapText="1"/>
    </xf>
    <xf fontId="3" fillId="6" borderId="2" numFmtId="165" xfId="1" applyNumberFormat="1" applyFont="1" applyFill="1" applyBorder="1" applyAlignment="1">
      <alignment horizontal="center" wrapText="1"/>
    </xf>
    <xf fontId="3" fillId="7" borderId="2" numFmtId="165" xfId="1" applyNumberFormat="1" applyFont="1" applyFill="1" applyBorder="1" applyAlignment="1">
      <alignment horizontal="center" vertical="center" wrapText="1"/>
    </xf>
    <xf fontId="3" fillId="4" borderId="2" numFmtId="165" xfId="1" applyNumberFormat="1" applyFont="1" applyFill="1" applyBorder="1" applyAlignment="1">
      <alignment wrapText="1"/>
    </xf>
    <xf fontId="3" fillId="5" borderId="2" numFmtId="165" xfId="1" applyNumberFormat="1" applyFont="1" applyFill="1" applyBorder="1" applyAlignment="1">
      <alignment wrapText="1"/>
    </xf>
    <xf fontId="3" fillId="6" borderId="2" numFmtId="165" xfId="1" applyNumberFormat="1" applyFont="1" applyFill="1" applyBorder="1" applyAlignment="1">
      <alignment wrapText="1"/>
    </xf>
    <xf fontId="0" fillId="3" borderId="2" numFmtId="165" xfId="1" applyNumberFormat="1" applyFill="1" applyBorder="1"/>
    <xf fontId="0" fillId="4" borderId="2" numFmtId="165" xfId="1" applyNumberFormat="1" applyFill="1" applyBorder="1"/>
    <xf fontId="0" fillId="5" borderId="2" numFmtId="165" xfId="1" applyNumberFormat="1" applyFill="1" applyBorder="1"/>
    <xf fontId="0" fillId="6" borderId="2" numFmtId="165" xfId="1" applyNumberFormat="1" applyFill="1" applyBorder="1"/>
    <xf fontId="0" fillId="7" borderId="2" numFmtId="165" xfId="1" applyNumberFormat="1" applyFill="1" applyBorder="1"/>
    <xf fontId="0" fillId="3" borderId="3" numFmtId="165" xfId="1" applyNumberFormat="1" applyFill="1" applyBorder="1"/>
    <xf fontId="0" fillId="3" borderId="4" numFmtId="165" xfId="1" applyNumberFormat="1" applyFill="1" applyBorder="1"/>
    <xf fontId="0" fillId="7" borderId="2" numFmtId="165" xfId="1" applyNumberFormat="1" applyFill="1" applyBorder="1"/>
    <xf fontId="0" fillId="6" borderId="2" numFmtId="166" xfId="1" applyNumberFormat="1" applyFill="1" applyBorder="1"/>
    <xf fontId="3" fillId="3" borderId="2" numFmtId="165" xfId="1" applyNumberFormat="1" applyFont="1" applyFill="1" applyBorder="1"/>
    <xf fontId="3" fillId="4" borderId="2" numFmtId="165" xfId="1" applyNumberFormat="1" applyFont="1" applyFill="1" applyBorder="1"/>
    <xf fontId="3" fillId="5" borderId="2" numFmtId="165" xfId="1" applyNumberFormat="1" applyFont="1" applyFill="1" applyBorder="1"/>
    <xf fontId="3" fillId="6" borderId="2" numFmtId="165" xfId="1" applyNumberFormat="1" applyFont="1" applyFill="1" applyBorder="1"/>
    <xf fontId="3" fillId="0" borderId="2" numFmtId="165" xfId="1" applyNumberFormat="1" applyFont="1" applyBorder="1"/>
    <xf fontId="3" fillId="8" borderId="5" numFmtId="165" xfId="0" applyNumberFormat="1" applyFont="1" applyFill="1" applyBorder="1" applyAlignment="1">
      <alignment horizontal="center"/>
    </xf>
    <xf fontId="3" fillId="8" borderId="6" numFmtId="165" xfId="0" applyNumberFormat="1" applyFont="1" applyFill="1" applyBorder="1" applyAlignment="1">
      <alignment horizontal="center"/>
    </xf>
    <xf fontId="3" fillId="8" borderId="7" numFmtId="165" xfId="0" applyNumberFormat="1" applyFont="1" applyFill="1" applyBorder="1" applyAlignment="1">
      <alignment horizontal="center"/>
    </xf>
    <xf fontId="3" fillId="9" borderId="8" numFmtId="165" xfId="0" applyNumberFormat="1" applyFont="1" applyFill="1" applyBorder="1" applyAlignment="1">
      <alignment horizontal="center"/>
    </xf>
    <xf fontId="3" fillId="9" borderId="9" numFmtId="0" xfId="0" applyFont="1" applyFill="1" applyBorder="1" applyAlignment="1">
      <alignment horizontal="center"/>
    </xf>
    <xf fontId="3" fillId="9" borderId="10" numFmtId="0" xfId="0" applyFont="1" applyFill="1" applyBorder="1" applyAlignment="1">
      <alignment horizontal="center"/>
    </xf>
    <xf fontId="3" fillId="10" borderId="8" numFmtId="165" xfId="0" applyNumberFormat="1" applyFont="1" applyFill="1" applyBorder="1" applyAlignment="1">
      <alignment horizontal="center"/>
    </xf>
    <xf fontId="3" fillId="10" borderId="10" numFmtId="0" xfId="0" applyFont="1" applyFill="1" applyBorder="1" applyAlignment="1">
      <alignment horizontal="center"/>
    </xf>
    <xf fontId="0" fillId="0" borderId="0" numFmtId="165" xfId="1" applyNumberFormat="1"/>
    <xf fontId="2" fillId="0" borderId="0" numFmtId="0" xfId="3" applyFont="1"/>
    <xf fontId="4" fillId="0" borderId="0" numFmtId="0" xfId="3" applyFont="1" applyAlignment="1">
      <alignment wrapText="1"/>
    </xf>
    <xf fontId="5" fillId="0" borderId="0" numFmtId="0" xfId="3" applyFont="1" applyAlignment="1">
      <alignment wrapText="1"/>
    </xf>
    <xf fontId="2" fillId="0" borderId="0" numFmtId="0" xfId="3" applyFont="1" applyAlignment="1">
      <alignment wrapText="1"/>
    </xf>
    <xf fontId="6" fillId="11" borderId="2" numFmtId="0" xfId="3" applyFont="1" applyFill="1" applyBorder="1" applyAlignment="1">
      <alignment wrapText="1"/>
    </xf>
    <xf fontId="7" fillId="11" borderId="2" numFmtId="0" xfId="3" applyFont="1" applyFill="1" applyBorder="1"/>
    <xf fontId="6" fillId="11" borderId="2" numFmtId="0" xfId="3" applyFont="1" applyFill="1" applyBorder="1"/>
    <xf fontId="6" fillId="11" borderId="2" numFmtId="3" xfId="3" applyNumberFormat="1" applyFont="1" applyFill="1" applyBorder="1"/>
    <xf fontId="8" fillId="0" borderId="0" numFmtId="0" xfId="3" applyFont="1"/>
    <xf fontId="7" fillId="11" borderId="2" numFmtId="3" xfId="3" applyNumberFormat="1" applyFont="1" applyFill="1" applyBorder="1"/>
    <xf fontId="5" fillId="0" borderId="0" numFmtId="0" xfId="3" applyFont="1"/>
    <xf fontId="1" fillId="2" borderId="1" numFmtId="0" xfId="2" applyFont="1" applyFill="1" applyBorder="1"/>
    <xf fontId="1" fillId="2" borderId="1" numFmtId="0" xfId="2" applyFont="1" applyFill="1" applyBorder="1" applyAlignment="1">
      <alignment wrapText="1"/>
    </xf>
    <xf fontId="2" fillId="0" borderId="0" numFmtId="2" xfId="3" applyNumberFormat="1" applyFont="1"/>
    <xf fontId="2" fillId="0" borderId="0" numFmtId="0" xfId="3" applyFont="1" applyAlignment="1">
      <alignment horizontal="center" vertical="top" wrapText="1"/>
    </xf>
    <xf fontId="3" fillId="0" borderId="0" numFmtId="0" xfId="0" applyFont="1"/>
    <xf fontId="9" fillId="0" borderId="0" numFmtId="0" xfId="0" applyFont="1"/>
    <xf fontId="3" fillId="3" borderId="2" numFmtId="0" xfId="0" applyFont="1" applyFill="1" applyBorder="1" applyAlignment="1">
      <alignment horizontal="center" vertical="center"/>
    </xf>
    <xf fontId="3" fillId="4" borderId="2" numFmtId="0" xfId="0" applyFont="1" applyFill="1" applyBorder="1" applyAlignment="1">
      <alignment horizontal="center"/>
    </xf>
    <xf fontId="3" fillId="5" borderId="2" numFmtId="0" xfId="0" applyFont="1" applyFill="1" applyBorder="1" applyAlignment="1">
      <alignment horizontal="center"/>
    </xf>
    <xf fontId="3" fillId="6" borderId="2" numFmtId="0" xfId="0" applyFont="1" applyFill="1" applyBorder="1" applyAlignment="1">
      <alignment horizontal="center"/>
    </xf>
    <xf fontId="3" fillId="7" borderId="11" numFmtId="0" xfId="0" applyFont="1" applyFill="1" applyBorder="1" applyAlignment="1">
      <alignment horizontal="center" vertical="center" wrapText="1"/>
    </xf>
    <xf fontId="0" fillId="12" borderId="3" numFmtId="0" xfId="0" applyFill="1" applyBorder="1" applyAlignment="1">
      <alignment vertical="center"/>
    </xf>
    <xf fontId="3" fillId="4" borderId="2" numFmtId="0" xfId="0" applyFont="1" applyFill="1" applyBorder="1" applyAlignment="1">
      <alignment horizontal="center" wrapText="1"/>
    </xf>
    <xf fontId="3" fillId="5" borderId="2" numFmtId="0" xfId="0" applyFont="1" applyFill="1" applyBorder="1" applyAlignment="1">
      <alignment horizontal="center" wrapText="1"/>
    </xf>
    <xf fontId="3" fillId="6" borderId="2" numFmtId="0" xfId="0" applyFont="1" applyFill="1" applyBorder="1" applyAlignment="1">
      <alignment horizontal="center" wrapText="1"/>
    </xf>
    <xf fontId="3" fillId="7" borderId="12" numFmtId="0" xfId="0" applyFont="1" applyFill="1" applyBorder="1" applyAlignment="1">
      <alignment horizontal="center" vertical="center" wrapText="1"/>
    </xf>
    <xf fontId="0" fillId="12" borderId="4" numFmtId="0" xfId="0" applyFill="1" applyBorder="1" applyAlignment="1">
      <alignment vertical="center"/>
    </xf>
    <xf fontId="0" fillId="3" borderId="2" numFmtId="0" xfId="0" applyFill="1" applyBorder="1" applyAlignment="1">
      <alignment horizontal="center" wrapText="1"/>
    </xf>
    <xf fontId="0" fillId="4" borderId="2" numFmtId="166" xfId="0" applyNumberFormat="1" applyFill="1" applyBorder="1" applyAlignment="1">
      <alignment horizontal="center"/>
    </xf>
    <xf fontId="0" fillId="5" borderId="2" numFmtId="166" xfId="0" applyNumberFormat="1" applyFill="1" applyBorder="1" applyAlignment="1">
      <alignment horizontal="center"/>
    </xf>
    <xf fontId="0" fillId="6" borderId="2" numFmtId="166" xfId="0" applyNumberFormat="1" applyFill="1" applyBorder="1" applyAlignment="1">
      <alignment horizontal="center"/>
    </xf>
    <xf fontId="3" fillId="7" borderId="13" numFmtId="0" xfId="0" applyFont="1" applyFill="1" applyBorder="1" applyAlignment="1">
      <alignment horizontal="center" vertical="center" wrapText="1"/>
    </xf>
    <xf fontId="0" fillId="12" borderId="2" numFmtId="166" xfId="0" applyNumberFormat="1" applyFill="1" applyBorder="1"/>
    <xf fontId="0" fillId="3" borderId="2" numFmtId="0" xfId="0" applyFill="1" applyBorder="1" applyAlignment="1">
      <alignment horizontal="center"/>
    </xf>
    <xf fontId="0" fillId="7" borderId="2" numFmtId="0" xfId="0" applyFill="1" applyBorder="1" applyAlignment="1">
      <alignment horizontal="center"/>
    </xf>
    <xf fontId="0" fillId="3" borderId="2" numFmtId="0" xfId="0" applyFill="1" applyBorder="1" applyAlignment="1">
      <alignment horizontal="center" vertical="center"/>
    </xf>
    <xf fontId="0" fillId="4" borderId="0" numFmtId="166" xfId="0" applyNumberFormat="1" applyFill="1" applyAlignment="1">
      <alignment horizontal="center"/>
    </xf>
    <xf fontId="0" fillId="4" borderId="2" numFmtId="166" xfId="0" applyNumberFormat="1" applyFill="1" applyBorder="1" applyAlignment="1">
      <alignment horizontal="center"/>
    </xf>
    <xf fontId="0" fillId="7" borderId="2" numFmtId="0" xfId="0" applyFill="1" applyBorder="1" applyAlignment="1">
      <alignment horizontal="center"/>
    </xf>
    <xf fontId="3" fillId="3" borderId="2" numFmtId="0" xfId="0" applyFont="1" applyFill="1" applyBorder="1" applyAlignment="1">
      <alignment horizontal="center"/>
    </xf>
    <xf fontId="3" fillId="4" borderId="2" numFmtId="166" xfId="0" applyNumberFormat="1" applyFont="1" applyFill="1" applyBorder="1" applyAlignment="1">
      <alignment horizontal="center"/>
    </xf>
    <xf fontId="3" fillId="5" borderId="2" numFmtId="166" xfId="0" applyNumberFormat="1" applyFont="1" applyFill="1" applyBorder="1" applyAlignment="1">
      <alignment horizontal="center"/>
    </xf>
    <xf fontId="3" fillId="6" borderId="2" numFmtId="166" xfId="0" applyNumberFormat="1" applyFont="1" applyFill="1" applyBorder="1" applyAlignment="1">
      <alignment horizontal="center"/>
    </xf>
    <xf fontId="0" fillId="0" borderId="0" numFmtId="166" xfId="0" applyNumberFormat="1"/>
    <xf fontId="3" fillId="0" borderId="2" numFmtId="0" xfId="0" applyFont="1" applyBorder="1" applyAlignment="1">
      <alignment horizontal="center"/>
    </xf>
    <xf fontId="3" fillId="0" borderId="2" numFmtId="0" xfId="0" applyFont="1" applyBorder="1" applyAlignment="1">
      <alignment horizontal="center" wrapText="1"/>
    </xf>
    <xf fontId="0" fillId="0" borderId="2" numFmtId="0" xfId="0" applyBorder="1" applyAlignment="1">
      <alignment horizontal="center"/>
    </xf>
    <xf fontId="3" fillId="0" borderId="2" numFmtId="0" xfId="0" applyFont="1" applyBorder="1"/>
    <xf fontId="0" fillId="0" borderId="2" numFmtId="0" xfId="0" applyBorder="1" applyAlignment="1">
      <alignment horizontal="left"/>
    </xf>
    <xf fontId="0" fillId="0" borderId="2" numFmtId="166" xfId="0" applyNumberFormat="1" applyBorder="1" applyAlignment="1">
      <alignment horizontal="center"/>
    </xf>
    <xf fontId="9" fillId="0" borderId="2" numFmtId="0" xfId="0" applyFont="1" applyBorder="1" applyAlignment="1">
      <alignment horizontal="left"/>
    </xf>
    <xf fontId="0" fillId="0" borderId="2" numFmtId="0" xfId="0" applyBorder="1"/>
    <xf fontId="10" fillId="0" borderId="2" numFmtId="0" xfId="0" applyFont="1" applyBorder="1" applyAlignment="1">
      <alignment horizontal="left"/>
    </xf>
    <xf fontId="3" fillId="0" borderId="2" numFmtId="0" xfId="0" applyFont="1" applyBorder="1" applyAlignment="1">
      <alignment horizontal="left"/>
    </xf>
    <xf fontId="3" fillId="0" borderId="2" numFmtId="166" xfId="0" applyNumberFormat="1" applyFont="1" applyBorder="1" applyAlignment="1">
      <alignment horizontal="center"/>
    </xf>
    <xf fontId="0" fillId="0" borderId="2" numFmtId="0" xfId="0" applyBorder="1" applyAlignment="1">
      <alignment horizontal="left"/>
    </xf>
    <xf fontId="0" fillId="0" borderId="2" numFmtId="166" xfId="0" applyNumberFormat="1" applyBorder="1"/>
    <xf fontId="0" fillId="0" borderId="0" numFmtId="0" xfId="0" applyAlignment="1">
      <alignment horizontal="left"/>
    </xf>
    <xf fontId="0" fillId="0" borderId="0" numFmtId="0" xfId="0" applyAlignment="1">
      <alignment horizontal="left"/>
    </xf>
    <xf fontId="3" fillId="9" borderId="8" numFmtId="0" xfId="0" applyFont="1" applyFill="1" applyBorder="1" applyAlignment="1">
      <alignment horizontal="left"/>
    </xf>
    <xf fontId="3" fillId="9" borderId="9" numFmtId="0" xfId="0" applyFont="1" applyFill="1" applyBorder="1" applyAlignment="1">
      <alignment horizontal="left"/>
    </xf>
    <xf fontId="3" fillId="9" borderId="10" numFmtId="0" xfId="0" applyFont="1" applyFill="1" applyBorder="1" applyAlignment="1">
      <alignment horizontal="left"/>
    </xf>
    <xf fontId="3" fillId="9" borderId="2" numFmtId="0" xfId="0" applyFont="1" applyFill="1" applyBorder="1"/>
    <xf fontId="0" fillId="0" borderId="14" numFmtId="0" xfId="0" applyBorder="1" applyAlignment="1">
      <alignment horizontal="left"/>
    </xf>
    <xf fontId="0" fillId="0" borderId="15" numFmtId="0" xfId="0" applyBorder="1" applyAlignment="1">
      <alignment horizontal="left"/>
    </xf>
    <xf fontId="0" fillId="0" borderId="16" numFmtId="0" xfId="0" applyBorder="1" applyAlignment="1">
      <alignment horizontal="left"/>
    </xf>
    <xf fontId="3" fillId="9" borderId="2" numFmtId="166" xfId="0" applyNumberFormat="1" applyFont="1" applyFill="1" applyBorder="1"/>
    <xf fontId="3" fillId="13" borderId="2" numFmtId="0" xfId="0" applyFont="1" applyFill="1" applyBorder="1" applyAlignment="1">
      <alignment horizontal="left"/>
    </xf>
    <xf fontId="3" fillId="13" borderId="2" numFmtId="0" xfId="0" applyFont="1" applyFill="1" applyBorder="1"/>
    <xf fontId="3" fillId="9" borderId="2" numFmtId="0" xfId="0" applyFont="1" applyFill="1" applyBorder="1" applyAlignment="1">
      <alignment horizontal="left"/>
    </xf>
    <xf fontId="0" fillId="9" borderId="2" numFmtId="166" xfId="0" applyNumberFormat="1" applyFill="1" applyBorder="1"/>
    <xf fontId="3" fillId="14" borderId="2" numFmtId="0" xfId="0" applyFont="1" applyFill="1" applyBorder="1" applyAlignment="1">
      <alignment horizontal="left"/>
    </xf>
    <xf fontId="3" fillId="14" borderId="2" numFmtId="166" xfId="0" applyNumberFormat="1" applyFont="1" applyFill="1" applyBorder="1"/>
    <xf fontId="3" fillId="13" borderId="2" numFmtId="0" xfId="0" applyFont="1" applyFill="1" applyBorder="1" applyAlignment="1">
      <alignment horizontal="left" wrapText="1"/>
    </xf>
    <xf fontId="3" fillId="13" borderId="2" numFmtId="166" xfId="0" applyNumberFormat="1" applyFont="1" applyFill="1" applyBorder="1"/>
  </cellXfs>
  <cellStyles count="4">
    <cellStyle name="Comma" xfId="1" builtinId="3"/>
    <cellStyle name="Input" xfId="2" builtinId="20"/>
    <cellStyle name="Normal" xfId="0" builtinId="0"/>
    <cellStyle name="Normal 2"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customXml" Target="../customXml/item1.xml"/><Relationship  Id="rId2" Type="http://schemas.openxmlformats.org/officeDocument/2006/relationships/customXml" Target="../customXml/item2.xml"/><Relationship  Id="rId3" Type="http://schemas.openxmlformats.org/officeDocument/2006/relationships/customXml" Target="../customXml/item3.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theme" Target="theme/theme1.xml"/><Relationship  Id="rId8"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Relationships xmlns="http://schemas.openxmlformats.org/package/2006/relationships"><Relationship Id="rId1" Type="http://schemas.openxmlformats.org/officeDocument/2006/relationships/image" Target="../media/image1.png"/></Relationships>
</file>

<file path=xl/drawings/_rels/drawing2.xml.rels><?xml version="1.0" encoding="UTF-8" standalone="yes"?><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0</xdr:col>
      <xdr:colOff>0</xdr:colOff>
      <xdr:row>0</xdr:row>
      <xdr:rowOff>0</xdr:rowOff>
    </xdr:from>
    <xdr:to>
      <xdr:col>6</xdr:col>
      <xdr:colOff>812583</xdr:colOff>
      <xdr:row>17</xdr:row>
      <xdr:rowOff>15875</xdr:rowOff>
    </xdr:to>
    <xdr:pic>
      <xdr:nvPicPr>
        <xdr:cNvPr id="3" name="Picture 2"/>
        <xdr:cNvPicPr>
          <a:picLocks noChangeAspect="1"/>
        </xdr:cNvPicPr>
      </xdr:nvPicPr>
      <xdr:blipFill rotWithShape="1">
        <a:blip r:embed="rId1"/>
        <a:stretch/>
      </xdr:blipFill>
      <xdr:spPr bwMode="auto">
        <a:xfrm>
          <a:off x="0" y="0"/>
          <a:ext cx="5765583" cy="35242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6</xdr:col>
      <xdr:colOff>798032</xdr:colOff>
      <xdr:row>1</xdr:row>
      <xdr:rowOff>67724</xdr:rowOff>
    </xdr:from>
    <xdr:to>
      <xdr:col>14</xdr:col>
      <xdr:colOff>28668</xdr:colOff>
      <xdr:row>14</xdr:row>
      <xdr:rowOff>115956</xdr:rowOff>
    </xdr:to>
    <xdr:pic>
      <xdr:nvPicPr>
        <xdr:cNvPr id="3" name="Picture 2"/>
        <xdr:cNvPicPr>
          <a:picLocks noChangeAspect="1"/>
        </xdr:cNvPicPr>
      </xdr:nvPicPr>
      <xdr:blipFill rotWithShape="1">
        <a:blip r:embed="rId1"/>
        <a:stretch/>
      </xdr:blipFill>
      <xdr:spPr bwMode="auto">
        <a:xfrm>
          <a:off x="6736662" y="266507"/>
          <a:ext cx="6588409" cy="2955427"/>
        </a:xfrm>
        <a:prstGeom prst="rect">
          <a:avLst/>
        </a:prstGeom>
      </xdr:spPr>
    </xdr:pic>
    <xdr:clientData/>
  </xdr:twoCellAnchor>
  <xdr:twoCellAnchor editAs="oneCell">
    <xdr:from>
      <xdr:col>0</xdr:col>
      <xdr:colOff>0</xdr:colOff>
      <xdr:row>0</xdr:row>
      <xdr:rowOff>0</xdr:rowOff>
    </xdr:from>
    <xdr:to>
      <xdr:col>6</xdr:col>
      <xdr:colOff>493468</xdr:colOff>
      <xdr:row>14</xdr:row>
      <xdr:rowOff>95582</xdr:rowOff>
    </xdr:to>
    <xdr:pic>
      <xdr:nvPicPr>
        <xdr:cNvPr id="8" name="Picture 7"/>
        <xdr:cNvPicPr>
          <a:picLocks noChangeAspect="1"/>
        </xdr:cNvPicPr>
      </xdr:nvPicPr>
      <xdr:blipFill rotWithShape="1">
        <a:blip r:embed="rId2"/>
        <a:stretch/>
      </xdr:blipFill>
      <xdr:spPr bwMode="auto">
        <a:xfrm>
          <a:off x="0" y="0"/>
          <a:ext cx="6656888" cy="3205370"/>
        </a:xfrm>
        <a:prstGeom prst="rect">
          <a:avLst/>
        </a:prstGeom>
      </xdr:spPr>
    </xdr:pic>
    <xdr:clientData/>
  </xdr:two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4" zoomScale="100" workbookViewId="0">
      <selection activeCell="L12" activeCellId="0" sqref="L12"/>
    </sheetView>
  </sheetViews>
  <sheetFormatPr defaultColWidth="10.875" defaultRowHeight="15.75"/>
  <cols>
    <col min="1" max="12" style="1" width="10.875"/>
    <col bestFit="1" customWidth="1" min="13" max="13" style="1" width="17.875"/>
    <col min="14" max="16384" style="1" width="10.875"/>
  </cols>
  <sheetData>
    <row r="19">
      <c r="A19" s="2" t="s">
        <v>0</v>
      </c>
      <c r="B19" s="3" t="s">
        <v>1</v>
      </c>
      <c r="C19" s="3"/>
      <c r="D19" s="3"/>
      <c r="E19" s="3"/>
      <c r="F19" s="3"/>
      <c r="G19" s="4" t="s">
        <v>2</v>
      </c>
      <c r="H19" s="4"/>
      <c r="I19" s="4"/>
      <c r="J19" s="4"/>
      <c r="K19" s="5" t="s">
        <v>3</v>
      </c>
      <c r="L19" s="5"/>
      <c r="M19" s="6" t="s">
        <v>4</v>
      </c>
    </row>
    <row r="20" ht="31.5">
      <c r="A20" s="2"/>
      <c r="B20" s="7" t="s">
        <v>5</v>
      </c>
      <c r="C20" s="7" t="s">
        <v>6</v>
      </c>
      <c r="D20" s="7" t="s">
        <v>7</v>
      </c>
      <c r="E20" s="7" t="s">
        <v>8</v>
      </c>
      <c r="F20" s="7" t="s">
        <v>9</v>
      </c>
      <c r="G20" s="8" t="s">
        <v>10</v>
      </c>
      <c r="H20" s="8" t="s">
        <v>11</v>
      </c>
      <c r="I20" s="8" t="s">
        <v>12</v>
      </c>
      <c r="J20" s="8" t="s">
        <v>13</v>
      </c>
      <c r="K20" s="9" t="s">
        <v>14</v>
      </c>
      <c r="L20" s="9" t="s">
        <v>15</v>
      </c>
      <c r="M20" s="6"/>
    </row>
    <row r="21">
      <c r="A21" s="10" t="s">
        <v>16</v>
      </c>
      <c r="B21" s="11">
        <v>400000</v>
      </c>
      <c r="C21" s="11"/>
      <c r="D21" s="11"/>
      <c r="E21" s="11"/>
      <c r="F21" s="11"/>
      <c r="G21" s="12"/>
      <c r="H21" s="12"/>
      <c r="I21" s="12"/>
      <c r="J21" s="12"/>
      <c r="K21" s="13">
        <v>400000</v>
      </c>
      <c r="L21" s="13"/>
      <c r="M21" s="14"/>
    </row>
    <row r="22">
      <c r="A22" s="10" t="s">
        <v>17</v>
      </c>
      <c r="B22" s="11"/>
      <c r="C22" s="11">
        <v>70000</v>
      </c>
      <c r="D22" s="11"/>
      <c r="E22" s="11"/>
      <c r="F22" s="11"/>
      <c r="G22" s="12">
        <v>70000</v>
      </c>
      <c r="H22" s="12"/>
      <c r="I22" s="12"/>
      <c r="J22" s="12"/>
      <c r="K22" s="13"/>
      <c r="L22" s="13"/>
      <c r="M22" s="14"/>
    </row>
    <row r="23">
      <c r="A23" s="15" t="s">
        <v>18</v>
      </c>
      <c r="B23" s="11"/>
      <c r="C23" s="11">
        <v>-60000</v>
      </c>
      <c r="D23" s="11"/>
      <c r="E23" s="11"/>
      <c r="F23" s="11"/>
      <c r="G23" s="12"/>
      <c r="H23" s="12"/>
      <c r="I23" s="12"/>
      <c r="J23" s="12"/>
      <c r="K23" s="13"/>
      <c r="L23" s="13">
        <v>-60000</v>
      </c>
      <c r="M23" s="14"/>
    </row>
    <row r="24">
      <c r="A24" s="16"/>
      <c r="B24" s="11"/>
      <c r="C24" s="11"/>
      <c r="D24" s="11">
        <v>190000</v>
      </c>
      <c r="E24" s="11"/>
      <c r="F24" s="11"/>
      <c r="G24" s="12"/>
      <c r="H24" s="12"/>
      <c r="I24" s="12"/>
      <c r="J24" s="12"/>
      <c r="K24" s="13"/>
      <c r="L24" s="13">
        <v>190000</v>
      </c>
      <c r="M24" s="17" t="s">
        <v>19</v>
      </c>
    </row>
    <row r="25">
      <c r="A25" s="10" t="s">
        <v>20</v>
      </c>
      <c r="B25" s="11">
        <v>100000</v>
      </c>
      <c r="C25" s="11"/>
      <c r="D25" s="11">
        <v>-100000</v>
      </c>
      <c r="E25" s="11"/>
      <c r="F25" s="11"/>
      <c r="G25" s="12"/>
      <c r="H25" s="12"/>
      <c r="I25" s="12"/>
      <c r="J25" s="12"/>
      <c r="K25" s="13"/>
      <c r="L25" s="13"/>
      <c r="M25" s="14"/>
    </row>
    <row r="26">
      <c r="A26" s="10" t="s">
        <v>21</v>
      </c>
      <c r="B26" s="11">
        <v>-40000</v>
      </c>
      <c r="C26" s="11"/>
      <c r="D26" s="11"/>
      <c r="E26" s="11"/>
      <c r="F26" s="11"/>
      <c r="G26" s="12"/>
      <c r="H26" s="12"/>
      <c r="I26" s="12"/>
      <c r="J26" s="12"/>
      <c r="K26" s="13"/>
      <c r="L26" s="18">
        <v>-40000</v>
      </c>
      <c r="M26" s="14" t="s">
        <v>22</v>
      </c>
    </row>
    <row r="27">
      <c r="A27" s="10" t="s">
        <v>23</v>
      </c>
      <c r="B27" s="11">
        <v>-32000</v>
      </c>
      <c r="C27" s="11"/>
      <c r="D27" s="11"/>
      <c r="E27" s="11"/>
      <c r="F27" s="11"/>
      <c r="G27" s="12">
        <v>-32000</v>
      </c>
      <c r="H27" s="12"/>
      <c r="I27" s="12"/>
      <c r="J27" s="12"/>
      <c r="K27" s="13"/>
      <c r="L27" s="13"/>
      <c r="M27" s="14"/>
    </row>
    <row r="28">
      <c r="A28" s="10" t="s">
        <v>24</v>
      </c>
      <c r="B28" s="11">
        <v>-90000</v>
      </c>
      <c r="C28" s="11"/>
      <c r="D28" s="11"/>
      <c r="E28" s="11"/>
      <c r="F28" s="11"/>
      <c r="G28" s="12"/>
      <c r="H28" s="12">
        <v>10000</v>
      </c>
      <c r="I28" s="12"/>
      <c r="J28" s="12"/>
      <c r="K28" s="13"/>
      <c r="L28" s="13">
        <v>-100000</v>
      </c>
      <c r="M28" s="14" t="s">
        <v>25</v>
      </c>
    </row>
    <row r="29">
      <c r="A29" s="10" t="s">
        <v>26</v>
      </c>
      <c r="B29" s="11">
        <v>70000</v>
      </c>
      <c r="C29" s="11"/>
      <c r="D29" s="11"/>
      <c r="E29" s="11"/>
      <c r="F29" s="11"/>
      <c r="G29" s="12"/>
      <c r="H29" s="12"/>
      <c r="I29" s="12">
        <v>70000</v>
      </c>
      <c r="J29" s="12"/>
      <c r="K29" s="13"/>
      <c r="L29" s="13"/>
      <c r="M29" s="14"/>
    </row>
    <row r="30">
      <c r="A30" s="10" t="s">
        <v>27</v>
      </c>
      <c r="B30" s="11"/>
      <c r="C30" s="11"/>
      <c r="D30" s="11"/>
      <c r="E30" s="11"/>
      <c r="F30" s="11"/>
      <c r="G30" s="12"/>
      <c r="H30" s="12"/>
      <c r="I30" s="12"/>
      <c r="J30" s="12">
        <v>15000</v>
      </c>
      <c r="K30" s="13"/>
      <c r="L30" s="13">
        <v>-15000</v>
      </c>
      <c r="M30" s="14" t="s">
        <v>28</v>
      </c>
    </row>
    <row r="31">
      <c r="A31" s="10" t="s">
        <v>29</v>
      </c>
      <c r="B31" s="11"/>
      <c r="C31" s="11"/>
      <c r="D31" s="11"/>
      <c r="E31" s="11">
        <v>800</v>
      </c>
      <c r="F31" s="11"/>
      <c r="G31" s="12">
        <v>4000</v>
      </c>
      <c r="H31" s="12"/>
      <c r="I31" s="12"/>
      <c r="J31" s="12"/>
      <c r="K31" s="13"/>
      <c r="L31" s="13">
        <v>-3200</v>
      </c>
      <c r="M31" s="14" t="s">
        <v>30</v>
      </c>
    </row>
    <row r="32">
      <c r="A32" s="10" t="s">
        <v>31</v>
      </c>
      <c r="B32" s="11">
        <v>-24000</v>
      </c>
      <c r="C32" s="11"/>
      <c r="D32" s="11"/>
      <c r="E32" s="11"/>
      <c r="F32" s="11">
        <v>6000</v>
      </c>
      <c r="G32" s="12"/>
      <c r="H32" s="12"/>
      <c r="I32" s="12"/>
      <c r="J32" s="12"/>
      <c r="K32" s="13"/>
      <c r="L32" s="13">
        <v>-18000</v>
      </c>
      <c r="M32" s="14" t="s">
        <v>32</v>
      </c>
    </row>
    <row r="33">
      <c r="A33" s="19" t="s">
        <v>33</v>
      </c>
      <c r="B33" s="20">
        <f>SUM(B21:B32)</f>
        <v>384000</v>
      </c>
      <c r="C33" s="20">
        <f>SUM(C21:C32)</f>
        <v>10000</v>
      </c>
      <c r="D33" s="20">
        <f>SUM(D21:D32)</f>
        <v>90000</v>
      </c>
      <c r="E33" s="20">
        <f>SUM(E21:E32)</f>
        <v>800</v>
      </c>
      <c r="F33" s="20">
        <f>SUM(F21:F32)</f>
        <v>6000</v>
      </c>
      <c r="G33" s="21">
        <f>SUM(G21:G32)</f>
        <v>42000</v>
      </c>
      <c r="H33" s="21">
        <f>SUM(H21:H32)</f>
        <v>10000</v>
      </c>
      <c r="I33" s="21">
        <f>SUM(I21:I32)</f>
        <v>70000</v>
      </c>
      <c r="J33" s="21">
        <f>SUM(J21:J32)</f>
        <v>15000</v>
      </c>
      <c r="K33" s="22">
        <f>SUM(K21:K32)</f>
        <v>400000</v>
      </c>
      <c r="L33" s="22">
        <f>SUM(L21:L32)</f>
        <v>-46200</v>
      </c>
      <c r="M33" s="14"/>
    </row>
    <row r="35" ht="15.75">
      <c r="A35" s="23" t="s">
        <v>34</v>
      </c>
      <c r="B35" s="24">
        <f>SUM(B33:F33)</f>
        <v>490800</v>
      </c>
      <c r="C35" s="25"/>
      <c r="D35" s="25"/>
      <c r="E35" s="25"/>
      <c r="F35" s="26"/>
      <c r="G35" s="27">
        <f>SUM(G33:J33)</f>
        <v>137000</v>
      </c>
      <c r="H35" s="28"/>
      <c r="I35" s="28"/>
      <c r="J35" s="29"/>
      <c r="K35" s="30">
        <f>SUM(K33:L33)</f>
        <v>353800</v>
      </c>
      <c r="L35" s="31"/>
    </row>
    <row r="37" ht="15.75">
      <c r="C37" s="32"/>
    </row>
  </sheetData>
  <mergeCells count="9">
    <mergeCell ref="A19:A20"/>
    <mergeCell ref="B19:F19"/>
    <mergeCell ref="G19:J19"/>
    <mergeCell ref="K19:L19"/>
    <mergeCell ref="M19:M20"/>
    <mergeCell ref="A23:A24"/>
    <mergeCell ref="B35:F35"/>
    <mergeCell ref="G35:J35"/>
    <mergeCell ref="K35:L35"/>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G2" activeCellId="0" sqref="G2"/>
    </sheetView>
  </sheetViews>
  <sheetFormatPr defaultColWidth="8.875" defaultRowHeight="15"/>
  <cols>
    <col min="1" max="1" style="33" width="8.875"/>
    <col customWidth="1" min="2" max="2" style="33" width="95.375"/>
    <col bestFit="1" customWidth="1" min="3" max="3" style="33" width="9.625"/>
    <col bestFit="1" customWidth="1" min="4" max="4" style="33" width="10"/>
    <col min="5" max="16384" style="33" width="8.875"/>
  </cols>
  <sheetData>
    <row r="1" ht="30">
      <c r="B1" s="34" t="s">
        <v>35</v>
      </c>
    </row>
    <row r="2" ht="105" customHeight="1">
      <c r="B2" s="35" t="s">
        <v>36</v>
      </c>
    </row>
    <row r="3">
      <c r="B3" s="36"/>
    </row>
    <row r="4" ht="45">
      <c r="B4" s="36" t="s">
        <v>37</v>
      </c>
    </row>
    <row r="5">
      <c r="B5" s="37"/>
      <c r="C5" s="38">
        <v>2022</v>
      </c>
      <c r="D5" s="38">
        <v>2023</v>
      </c>
    </row>
    <row r="6">
      <c r="B6" s="39" t="s">
        <v>38</v>
      </c>
      <c r="C6" s="40">
        <v>5000000</v>
      </c>
      <c r="D6" s="40">
        <v>12500000</v>
      </c>
      <c r="G6" s="41"/>
    </row>
    <row r="7">
      <c r="B7" s="39" t="s">
        <v>39</v>
      </c>
      <c r="C7" s="40">
        <f>C6-C8</f>
        <v>3500000</v>
      </c>
      <c r="D7" s="40">
        <f>D6-D8</f>
        <v>8125000</v>
      </c>
    </row>
    <row r="8">
      <c r="B8" s="38" t="s">
        <v>40</v>
      </c>
      <c r="C8" s="42">
        <f>C6*0.3</f>
        <v>1500000</v>
      </c>
      <c r="D8" s="42">
        <f>D6*0.35</f>
        <v>4375000</v>
      </c>
    </row>
    <row r="9">
      <c r="B9" s="39" t="s">
        <v>41</v>
      </c>
      <c r="C9" s="39"/>
      <c r="D9" s="39"/>
    </row>
    <row r="10">
      <c r="B10" s="39" t="s">
        <v>42</v>
      </c>
      <c r="C10" s="40">
        <v>-150000</v>
      </c>
      <c r="D10" s="40">
        <v>-300000</v>
      </c>
    </row>
    <row r="11">
      <c r="B11" s="39" t="s">
        <v>43</v>
      </c>
      <c r="C11" s="40">
        <v>-1250000</v>
      </c>
      <c r="D11" s="40">
        <v>-1650000</v>
      </c>
    </row>
    <row r="12">
      <c r="B12" s="39" t="s">
        <v>44</v>
      </c>
      <c r="C12" s="40">
        <v>-120000</v>
      </c>
      <c r="D12" s="40">
        <v>-120000</v>
      </c>
    </row>
    <row r="13">
      <c r="B13" s="39" t="s">
        <v>45</v>
      </c>
      <c r="C13" s="40">
        <v>-1000000</v>
      </c>
      <c r="D13" s="40">
        <v>-1200000</v>
      </c>
    </row>
    <row r="14">
      <c r="B14" s="39" t="s">
        <v>46</v>
      </c>
      <c r="C14" s="40">
        <v>-50000</v>
      </c>
      <c r="D14" s="40">
        <v>-80000</v>
      </c>
      <c r="G14" s="41"/>
    </row>
    <row r="15">
      <c r="B15" s="38" t="s">
        <v>47</v>
      </c>
      <c r="C15" s="42">
        <f>C8+SUM(C10:C14)</f>
        <v>-1070000</v>
      </c>
      <c r="D15" s="42">
        <f>D8+SUM(D10:D14)</f>
        <v>1025000</v>
      </c>
    </row>
    <row r="16">
      <c r="B16" s="39"/>
      <c r="C16" s="39"/>
      <c r="D16" s="39"/>
      <c r="G16" s="41"/>
    </row>
    <row r="17">
      <c r="B17" s="39" t="s">
        <v>48</v>
      </c>
      <c r="C17" s="40">
        <v>0</v>
      </c>
      <c r="D17" s="40">
        <f>D15*0.25</f>
        <v>256250</v>
      </c>
      <c r="G17" s="41"/>
    </row>
    <row r="18">
      <c r="B18" s="38" t="s">
        <v>49</v>
      </c>
      <c r="C18" s="42">
        <f>C15-C17</f>
        <v>-1070000</v>
      </c>
      <c r="D18" s="42">
        <f>D15-D17</f>
        <v>768750</v>
      </c>
    </row>
    <row r="20" ht="45">
      <c r="B20" s="35" t="s">
        <v>50</v>
      </c>
    </row>
    <row r="22" ht="30">
      <c r="A22" s="43">
        <v>1</v>
      </c>
      <c r="B22" s="35" t="s">
        <v>51</v>
      </c>
    </row>
    <row r="23" ht="15.75">
      <c r="A23" s="33" t="s">
        <v>16</v>
      </c>
      <c r="B23" s="44"/>
    </row>
    <row r="24" ht="15.75">
      <c r="A24" s="33" t="s">
        <v>17</v>
      </c>
      <c r="B24" s="44"/>
    </row>
    <row r="25" ht="15.75">
      <c r="A25" s="33" t="s">
        <v>18</v>
      </c>
      <c r="B25" s="45"/>
      <c r="C25" s="46"/>
      <c r="D25" s="46"/>
    </row>
    <row r="26" ht="15.75">
      <c r="A26" s="33" t="s">
        <v>20</v>
      </c>
      <c r="B26" s="45"/>
      <c r="C26" s="46"/>
      <c r="D26" s="46"/>
    </row>
    <row r="27" ht="15.75">
      <c r="A27" s="33" t="s">
        <v>21</v>
      </c>
      <c r="B27" s="45"/>
      <c r="C27" s="46"/>
      <c r="D27" s="46"/>
    </row>
    <row r="28">
      <c r="B28" s="36"/>
      <c r="C28" s="46"/>
      <c r="D28" s="46"/>
    </row>
    <row r="29">
      <c r="A29" s="43">
        <v>2</v>
      </c>
      <c r="B29" s="43" t="s">
        <v>52</v>
      </c>
    </row>
    <row r="30" ht="15.75">
      <c r="A30" s="33" t="s">
        <v>16</v>
      </c>
      <c r="B30" s="44"/>
    </row>
    <row r="31" ht="15.75">
      <c r="A31" s="33" t="s">
        <v>17</v>
      </c>
      <c r="B31" s="44"/>
    </row>
    <row r="32" ht="15.75">
      <c r="A32" s="33" t="s">
        <v>18</v>
      </c>
      <c r="B32" s="44"/>
    </row>
    <row r="33" ht="15.75">
      <c r="A33" s="33" t="s">
        <v>20</v>
      </c>
      <c r="B33" s="44"/>
    </row>
    <row r="34" ht="15.75">
      <c r="A34" s="33" t="s">
        <v>21</v>
      </c>
      <c r="B34" s="44"/>
    </row>
    <row r="36" ht="30">
      <c r="A36" s="43">
        <v>3</v>
      </c>
      <c r="B36" s="35" t="s">
        <v>53</v>
      </c>
    </row>
    <row r="37">
      <c r="B37" s="47"/>
    </row>
    <row r="38">
      <c r="B38" s="47"/>
    </row>
    <row r="39">
      <c r="B39" s="47"/>
    </row>
    <row r="40">
      <c r="B40" s="47"/>
    </row>
    <row r="41">
      <c r="B41" s="36"/>
    </row>
  </sheetData>
  <mergeCells count="1">
    <mergeCell ref="B37:B40"/>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23" zoomScale="100" workbookViewId="0">
      <selection activeCell="D43" activeCellId="0" sqref="D43:F43"/>
    </sheetView>
  </sheetViews>
  <sheetFormatPr defaultColWidth="11" defaultRowHeight="16.5"/>
  <cols>
    <col customWidth="1" min="1" max="1" width="27"/>
    <col customWidth="1" min="2" max="2" width="12"/>
    <col customWidth="1" min="3" max="3" width="10"/>
    <col customWidth="1" min="4" max="6" width="10.625"/>
    <col customWidth="1" min="7" max="7" width="13.5"/>
    <col customWidth="1" min="8" max="8" width="14.875"/>
    <col customWidth="1" min="9" max="9" width="12.625"/>
    <col customWidth="1" min="10" max="10" width="11.625"/>
    <col customWidth="1" min="15" max="15" width="15"/>
    <col bestFit="1" customWidth="1" min="16" max="16" width="18.875"/>
    <col bestFit="1" customWidth="1" min="18" max="18" width="18.875"/>
  </cols>
  <sheetData>
    <row r="3">
      <c r="C3" s="48"/>
      <c r="D3" s="48"/>
    </row>
    <row r="4" ht="41.100000000000001" customHeight="1">
      <c r="C4" s="48"/>
      <c r="D4" s="48"/>
    </row>
    <row r="17">
      <c r="A17" s="49" t="s">
        <v>54</v>
      </c>
    </row>
    <row r="19">
      <c r="A19" s="50" t="s">
        <v>0</v>
      </c>
      <c r="B19" s="51" t="s">
        <v>1</v>
      </c>
      <c r="C19" s="51"/>
      <c r="D19" s="51"/>
      <c r="E19" s="51"/>
      <c r="F19" s="51"/>
      <c r="G19" s="51"/>
      <c r="H19" s="51"/>
      <c r="I19" s="51"/>
      <c r="J19" s="52" t="s">
        <v>2</v>
      </c>
      <c r="K19" s="52"/>
      <c r="L19" s="52"/>
      <c r="M19" s="52"/>
      <c r="N19" s="53" t="s">
        <v>3</v>
      </c>
      <c r="O19" s="53"/>
      <c r="P19" s="54" t="s">
        <v>4</v>
      </c>
      <c r="R19" s="55" t="s">
        <v>55</v>
      </c>
    </row>
    <row r="20" ht="33">
      <c r="A20" s="50"/>
      <c r="B20" s="56" t="s">
        <v>5</v>
      </c>
      <c r="C20" s="56" t="s">
        <v>7</v>
      </c>
      <c r="D20" s="56" t="s">
        <v>56</v>
      </c>
      <c r="E20" s="56" t="s">
        <v>57</v>
      </c>
      <c r="F20" s="56" t="s">
        <v>58</v>
      </c>
      <c r="G20" s="56" t="s">
        <v>59</v>
      </c>
      <c r="H20" s="56" t="s">
        <v>60</v>
      </c>
      <c r="I20" s="56" t="s">
        <v>61</v>
      </c>
      <c r="J20" s="57" t="s">
        <v>62</v>
      </c>
      <c r="K20" s="57" t="s">
        <v>11</v>
      </c>
      <c r="L20" s="57" t="s">
        <v>63</v>
      </c>
      <c r="M20" s="57" t="s">
        <v>64</v>
      </c>
      <c r="N20" s="58" t="s">
        <v>14</v>
      </c>
      <c r="O20" s="58" t="s">
        <v>15</v>
      </c>
      <c r="P20" s="59"/>
      <c r="R20" s="60"/>
    </row>
    <row r="21">
      <c r="A21" s="61" t="s">
        <v>65</v>
      </c>
      <c r="B21" s="62">
        <v>400</v>
      </c>
      <c r="C21" s="62">
        <v>150</v>
      </c>
      <c r="D21" s="62">
        <v>1200</v>
      </c>
      <c r="E21" s="62">
        <v>0</v>
      </c>
      <c r="F21" s="62">
        <v>0</v>
      </c>
      <c r="G21" s="62">
        <v>0</v>
      </c>
      <c r="H21" s="62">
        <v>200</v>
      </c>
      <c r="I21" s="62">
        <v>-50</v>
      </c>
      <c r="J21" s="63">
        <v>760</v>
      </c>
      <c r="K21" s="63">
        <v>110</v>
      </c>
      <c r="L21" s="63">
        <v>70</v>
      </c>
      <c r="M21" s="63">
        <v>60</v>
      </c>
      <c r="N21" s="64">
        <v>640</v>
      </c>
      <c r="O21" s="64">
        <v>260</v>
      </c>
      <c r="P21" s="65"/>
      <c r="R21" s="66">
        <f>SUM(B21:I21)-SUM(J21:O21)</f>
        <v>0</v>
      </c>
    </row>
    <row r="22">
      <c r="A22" s="67" t="s">
        <v>16</v>
      </c>
      <c r="B22" s="62">
        <v>-14</v>
      </c>
      <c r="C22" s="62"/>
      <c r="D22" s="62"/>
      <c r="E22" s="62">
        <v>7</v>
      </c>
      <c r="F22" s="62"/>
      <c r="G22" s="62"/>
      <c r="H22" s="62"/>
      <c r="I22" s="62"/>
      <c r="J22" s="63"/>
      <c r="K22" s="63"/>
      <c r="L22" s="63"/>
      <c r="M22" s="63"/>
      <c r="N22" s="64"/>
      <c r="O22" s="64">
        <v>-7</v>
      </c>
      <c r="P22" s="68" t="s">
        <v>66</v>
      </c>
      <c r="R22" s="66">
        <f>SUM(B22:I22)-SUM(J22:O22)</f>
        <v>0</v>
      </c>
    </row>
    <row r="23">
      <c r="A23" s="69" t="s">
        <v>17</v>
      </c>
      <c r="B23" s="62"/>
      <c r="C23" s="62"/>
      <c r="D23" s="70">
        <v>-400</v>
      </c>
      <c r="E23" s="62"/>
      <c r="F23" s="62"/>
      <c r="G23" s="62"/>
      <c r="H23" s="62"/>
      <c r="I23" s="62"/>
      <c r="J23" s="63"/>
      <c r="K23" s="63"/>
      <c r="L23" s="63"/>
      <c r="M23" s="63"/>
      <c r="N23" s="64"/>
      <c r="O23" s="64">
        <v>-400</v>
      </c>
      <c r="P23" s="68" t="s">
        <v>67</v>
      </c>
      <c r="R23" s="66">
        <f>SUM(B23:I23)-SUM(J23:O23)</f>
        <v>0</v>
      </c>
    </row>
    <row r="24">
      <c r="A24" s="69"/>
      <c r="B24" s="62">
        <v>384</v>
      </c>
      <c r="C24" s="71">
        <v>96</v>
      </c>
      <c r="D24" s="62"/>
      <c r="E24" s="62"/>
      <c r="F24" s="62"/>
      <c r="G24" s="62"/>
      <c r="H24" s="62"/>
      <c r="I24" s="62"/>
      <c r="J24" s="63"/>
      <c r="K24" s="63"/>
      <c r="L24" s="63"/>
      <c r="M24" s="63"/>
      <c r="N24" s="64"/>
      <c r="O24" s="64">
        <v>480</v>
      </c>
      <c r="P24" s="68" t="s">
        <v>19</v>
      </c>
      <c r="R24" s="66">
        <f>SUM(B24:I24)-SUM(J24:O24)</f>
        <v>0</v>
      </c>
    </row>
    <row r="25">
      <c r="A25" s="67" t="s">
        <v>18</v>
      </c>
      <c r="B25" s="62">
        <v>222</v>
      </c>
      <c r="C25" s="62">
        <v>-222</v>
      </c>
      <c r="D25" s="62"/>
      <c r="E25" s="62"/>
      <c r="F25" s="62"/>
      <c r="G25" s="62"/>
      <c r="H25" s="62"/>
      <c r="I25" s="62"/>
      <c r="J25" s="63"/>
      <c r="K25" s="63"/>
      <c r="L25" s="63"/>
      <c r="M25" s="63"/>
      <c r="N25" s="64"/>
      <c r="O25" s="64"/>
      <c r="P25" s="72"/>
      <c r="R25" s="66">
        <f>SUM(B25:I25)-SUM(J25:O25)</f>
        <v>0</v>
      </c>
    </row>
    <row r="26">
      <c r="A26" s="67" t="s">
        <v>20</v>
      </c>
      <c r="B26" s="62">
        <v>-200</v>
      </c>
      <c r="C26" s="62"/>
      <c r="D26" s="62"/>
      <c r="E26" s="62"/>
      <c r="F26" s="62"/>
      <c r="G26" s="62"/>
      <c r="H26" s="62"/>
      <c r="I26" s="62"/>
      <c r="J26" s="63">
        <v>-200</v>
      </c>
      <c r="K26" s="63"/>
      <c r="L26" s="63"/>
      <c r="M26" s="63"/>
      <c r="N26" s="64"/>
      <c r="O26" s="64"/>
      <c r="P26" s="72"/>
      <c r="R26" s="66">
        <f>SUM(B26:I26)-SUM(J26:O26)</f>
        <v>0</v>
      </c>
    </row>
    <row r="27">
      <c r="A27" s="67" t="s">
        <v>21</v>
      </c>
      <c r="B27" s="62">
        <v>-200</v>
      </c>
      <c r="C27" s="62"/>
      <c r="D27" s="62"/>
      <c r="E27" s="62"/>
      <c r="F27" s="62"/>
      <c r="G27" s="62"/>
      <c r="H27" s="62"/>
      <c r="I27" s="62"/>
      <c r="J27" s="63"/>
      <c r="K27" s="63"/>
      <c r="L27" s="63"/>
      <c r="M27" s="63"/>
      <c r="N27" s="64"/>
      <c r="O27" s="64">
        <v>-200</v>
      </c>
      <c r="P27" s="68" t="s">
        <v>22</v>
      </c>
      <c r="R27" s="66">
        <f>SUM(B27:I27)-SUM(J27:O27)</f>
        <v>0</v>
      </c>
    </row>
    <row r="28">
      <c r="A28" s="69" t="s">
        <v>23</v>
      </c>
      <c r="B28" s="62">
        <v>-100</v>
      </c>
      <c r="C28" s="62"/>
      <c r="D28" s="62"/>
      <c r="E28" s="62"/>
      <c r="F28" s="62">
        <v>2</v>
      </c>
      <c r="G28" s="62">
        <v>100</v>
      </c>
      <c r="H28" s="62"/>
      <c r="I28" s="62"/>
      <c r="J28" s="63"/>
      <c r="K28" s="63"/>
      <c r="L28" s="63"/>
      <c r="M28" s="63"/>
      <c r="N28" s="64"/>
      <c r="O28" s="64">
        <v>2</v>
      </c>
      <c r="P28" s="68" t="s">
        <v>68</v>
      </c>
      <c r="R28" s="66">
        <f>SUM(B28:I28)-SUM(J28:O28)</f>
        <v>0</v>
      </c>
    </row>
    <row r="29">
      <c r="A29" s="67" t="s">
        <v>24</v>
      </c>
      <c r="B29" s="62">
        <v>-150</v>
      </c>
      <c r="C29" s="62"/>
      <c r="D29" s="62"/>
      <c r="E29" s="62"/>
      <c r="F29" s="62"/>
      <c r="G29" s="62"/>
      <c r="H29" s="62"/>
      <c r="I29" s="62"/>
      <c r="J29" s="63"/>
      <c r="K29" s="63">
        <v>-110</v>
      </c>
      <c r="L29" s="63"/>
      <c r="M29" s="63"/>
      <c r="N29" s="64"/>
      <c r="O29" s="64">
        <v>-40</v>
      </c>
      <c r="P29" s="68" t="s">
        <v>25</v>
      </c>
      <c r="R29" s="66">
        <f>SUM(B29:I29)-SUM(J29:O29)</f>
        <v>0</v>
      </c>
    </row>
    <row r="30">
      <c r="A30" s="67" t="s">
        <v>26</v>
      </c>
      <c r="B30" s="62">
        <v>-80</v>
      </c>
      <c r="C30" s="62"/>
      <c r="D30" s="62"/>
      <c r="E30" s="62"/>
      <c r="F30" s="62"/>
      <c r="G30" s="62"/>
      <c r="H30" s="62"/>
      <c r="I30" s="62"/>
      <c r="J30" s="63"/>
      <c r="K30" s="63"/>
      <c r="L30" s="63">
        <v>-70</v>
      </c>
      <c r="M30" s="63"/>
      <c r="N30" s="64"/>
      <c r="O30" s="64">
        <v>-10</v>
      </c>
      <c r="P30" s="68" t="s">
        <v>69</v>
      </c>
      <c r="R30" s="66">
        <f>SUM(B30:I30)-SUM(J30:O30)</f>
        <v>0</v>
      </c>
    </row>
    <row r="31">
      <c r="A31" s="67" t="s">
        <v>27</v>
      </c>
      <c r="B31" s="62"/>
      <c r="C31" s="62"/>
      <c r="D31" s="62"/>
      <c r="E31" s="62"/>
      <c r="F31" s="62"/>
      <c r="G31" s="62"/>
      <c r="H31" s="70"/>
      <c r="I31" s="62">
        <v>-10</v>
      </c>
      <c r="J31" s="63"/>
      <c r="K31" s="63"/>
      <c r="L31" s="63"/>
      <c r="M31" s="63"/>
      <c r="N31" s="64"/>
      <c r="O31" s="64">
        <v>-10</v>
      </c>
      <c r="P31" s="68" t="s">
        <v>70</v>
      </c>
      <c r="R31" s="66">
        <f>SUM(B31:I31)-SUM(J31:O31)</f>
        <v>0</v>
      </c>
    </row>
    <row r="32">
      <c r="A32" s="73" t="s">
        <v>71</v>
      </c>
      <c r="B32" s="74">
        <f>SUM(B21:B31)</f>
        <v>262</v>
      </c>
      <c r="C32" s="74">
        <f>SUM(C21:C31)</f>
        <v>24</v>
      </c>
      <c r="D32" s="74">
        <f>SUM(D21:D31)</f>
        <v>800</v>
      </c>
      <c r="E32" s="74">
        <f>SUM(E21:E31)</f>
        <v>7</v>
      </c>
      <c r="F32" s="74">
        <f>SUM(F21:F31)</f>
        <v>2</v>
      </c>
      <c r="G32" s="74">
        <f>SUM(G21:G31)</f>
        <v>100</v>
      </c>
      <c r="H32" s="74">
        <f>SUM(H21:H31)</f>
        <v>200</v>
      </c>
      <c r="I32" s="74">
        <f>SUM(I21:I31)</f>
        <v>-60</v>
      </c>
      <c r="J32" s="75">
        <f>SUM(J21:J31)</f>
        <v>560</v>
      </c>
      <c r="K32" s="75">
        <f>SUM(K21:K31)</f>
        <v>0</v>
      </c>
      <c r="L32" s="75">
        <f>SUM(L21:L31)</f>
        <v>0</v>
      </c>
      <c r="M32" s="75">
        <f>SUM(M21:M31)</f>
        <v>60</v>
      </c>
      <c r="N32" s="76">
        <f>SUM(N21:N31)</f>
        <v>640</v>
      </c>
      <c r="O32" s="76">
        <f>SUM(O21:O31)</f>
        <v>75</v>
      </c>
      <c r="P32" s="72"/>
      <c r="R32" s="66">
        <f>SUM(B32:I32)-SUM(J32:O32)</f>
        <v>0</v>
      </c>
    </row>
    <row r="33" ht="16.5">
      <c r="B33" s="77">
        <f>SUM(B21:I31)</f>
        <v>1335</v>
      </c>
      <c r="C33" s="77">
        <f>SUM(J21:O31)</f>
        <v>1335</v>
      </c>
    </row>
    <row r="34">
      <c r="A34" s="49" t="s">
        <v>72</v>
      </c>
      <c r="D34" s="49" t="s">
        <v>73</v>
      </c>
    </row>
    <row r="35">
      <c r="A35" s="78" t="s">
        <v>74</v>
      </c>
      <c r="B35" s="78"/>
      <c r="D35" s="78" t="s">
        <v>74</v>
      </c>
      <c r="E35" s="78"/>
      <c r="F35" s="78"/>
      <c r="G35" s="78"/>
    </row>
    <row r="36">
      <c r="A36" s="79" t="s">
        <v>75</v>
      </c>
      <c r="B36" s="79"/>
      <c r="D36" s="78" t="s">
        <v>76</v>
      </c>
      <c r="E36" s="78"/>
      <c r="F36" s="78"/>
      <c r="G36" s="78"/>
    </row>
    <row r="37">
      <c r="A37" s="80"/>
      <c r="B37" s="78" t="s">
        <v>77</v>
      </c>
      <c r="D37" s="80"/>
      <c r="E37" s="80"/>
      <c r="F37" s="80"/>
      <c r="G37" s="81" t="s">
        <v>77</v>
      </c>
    </row>
    <row r="38">
      <c r="A38" s="82" t="s">
        <v>19</v>
      </c>
      <c r="B38" s="83">
        <v>480</v>
      </c>
      <c r="D38" s="84" t="s">
        <v>78</v>
      </c>
      <c r="E38" s="84"/>
      <c r="F38" s="84"/>
      <c r="G38" s="85"/>
    </row>
    <row r="39">
      <c r="A39" s="82" t="s">
        <v>79</v>
      </c>
      <c r="B39" s="83">
        <v>-400</v>
      </c>
      <c r="D39" s="86" t="s">
        <v>80</v>
      </c>
      <c r="E39" s="86"/>
      <c r="F39" s="86"/>
      <c r="G39" s="85"/>
    </row>
    <row r="40">
      <c r="A40" s="87" t="s">
        <v>40</v>
      </c>
      <c r="B40" s="88">
        <v>80</v>
      </c>
      <c r="D40" s="82" t="s">
        <v>5</v>
      </c>
      <c r="E40" s="89"/>
      <c r="F40" s="89"/>
      <c r="G40" s="90">
        <f>B32</f>
        <v>262</v>
      </c>
    </row>
    <row r="41">
      <c r="A41" s="82" t="s">
        <v>68</v>
      </c>
      <c r="B41" s="83">
        <v>2</v>
      </c>
      <c r="D41" s="82" t="s">
        <v>7</v>
      </c>
      <c r="E41" s="89"/>
      <c r="F41" s="89"/>
      <c r="G41" s="90">
        <f>C32</f>
        <v>24</v>
      </c>
    </row>
    <row r="42">
      <c r="A42" s="82" t="s">
        <v>66</v>
      </c>
      <c r="B42" s="83">
        <v>-7</v>
      </c>
      <c r="D42" s="82" t="s">
        <v>56</v>
      </c>
      <c r="E42" s="89"/>
      <c r="F42" s="89"/>
      <c r="G42" s="90">
        <f>D32</f>
        <v>800</v>
      </c>
    </row>
    <row r="43">
      <c r="A43" s="82" t="s">
        <v>25</v>
      </c>
      <c r="B43" s="83">
        <v>-40</v>
      </c>
      <c r="D43" s="82" t="s">
        <v>57</v>
      </c>
      <c r="E43" s="89"/>
      <c r="F43" s="89"/>
      <c r="G43" s="90">
        <f>E32</f>
        <v>7</v>
      </c>
    </row>
    <row r="44">
      <c r="A44" s="82" t="s">
        <v>70</v>
      </c>
      <c r="B44" s="83">
        <v>-10</v>
      </c>
      <c r="D44" s="91" t="s">
        <v>58</v>
      </c>
      <c r="E44" s="92"/>
      <c r="F44" s="92"/>
      <c r="G44" s="90">
        <f>F32</f>
        <v>2</v>
      </c>
    </row>
    <row r="45" ht="15.6" customHeight="1">
      <c r="A45" s="87" t="s">
        <v>81</v>
      </c>
      <c r="B45" s="88">
        <f>SUM(B40:B44)</f>
        <v>25</v>
      </c>
      <c r="D45" s="93" t="s">
        <v>82</v>
      </c>
      <c r="E45" s="94"/>
      <c r="F45" s="95"/>
      <c r="G45" s="96">
        <f>SUM(G40:G44)</f>
        <v>1095</v>
      </c>
    </row>
    <row r="46" ht="15.6" customHeight="1">
      <c r="A46" s="82" t="s">
        <v>83</v>
      </c>
      <c r="B46" s="83">
        <v>-10</v>
      </c>
      <c r="D46" s="86" t="s">
        <v>84</v>
      </c>
      <c r="E46" s="86"/>
      <c r="F46" s="86"/>
      <c r="G46" s="81"/>
    </row>
    <row r="47">
      <c r="A47" s="87" t="s">
        <v>85</v>
      </c>
      <c r="B47" s="88">
        <v>15</v>
      </c>
      <c r="D47" s="82" t="s">
        <v>59</v>
      </c>
      <c r="E47" s="89"/>
      <c r="F47" s="89"/>
      <c r="G47" s="90">
        <f>G32</f>
        <v>100</v>
      </c>
    </row>
    <row r="48">
      <c r="A48" s="85" t="s">
        <v>86</v>
      </c>
      <c r="B48" s="90">
        <v>260</v>
      </c>
      <c r="D48" s="82" t="s">
        <v>60</v>
      </c>
      <c r="E48" s="89"/>
      <c r="F48" s="89"/>
      <c r="G48" s="90">
        <f>H32</f>
        <v>200</v>
      </c>
    </row>
    <row r="49">
      <c r="A49" s="85" t="s">
        <v>22</v>
      </c>
      <c r="B49" s="90">
        <v>-200</v>
      </c>
      <c r="D49" s="97" t="s">
        <v>87</v>
      </c>
      <c r="E49" s="98"/>
      <c r="F49" s="99"/>
      <c r="G49" s="90">
        <v>-60</v>
      </c>
    </row>
    <row r="50">
      <c r="A50" s="85" t="s">
        <v>88</v>
      </c>
      <c r="B50" s="90">
        <v>75</v>
      </c>
      <c r="D50" s="93" t="s">
        <v>89</v>
      </c>
      <c r="E50" s="94"/>
      <c r="F50" s="95"/>
      <c r="G50" s="100">
        <f>SUM(G47:G49)</f>
        <v>240</v>
      </c>
    </row>
    <row r="51">
      <c r="D51" s="101" t="s">
        <v>90</v>
      </c>
      <c r="E51" s="101"/>
      <c r="F51" s="101"/>
      <c r="G51" s="102">
        <f>SUM(G45,G50)</f>
        <v>1335</v>
      </c>
    </row>
    <row r="52">
      <c r="D52" s="84" t="s">
        <v>91</v>
      </c>
      <c r="E52" s="84"/>
      <c r="F52" s="84"/>
      <c r="G52" s="85"/>
    </row>
    <row r="53">
      <c r="D53" s="86" t="s">
        <v>92</v>
      </c>
      <c r="E53" s="86"/>
      <c r="F53" s="86"/>
      <c r="G53" s="85"/>
    </row>
    <row r="54">
      <c r="D54" s="82" t="s">
        <v>10</v>
      </c>
      <c r="E54" s="89"/>
      <c r="F54" s="89"/>
      <c r="G54" s="90">
        <f>J32</f>
        <v>560</v>
      </c>
    </row>
    <row r="55">
      <c r="D55" s="103" t="s">
        <v>93</v>
      </c>
      <c r="E55" s="103"/>
      <c r="F55" s="103"/>
      <c r="G55" s="100">
        <f>SUM(G54)</f>
        <v>560</v>
      </c>
    </row>
    <row r="56">
      <c r="D56" s="86" t="s">
        <v>94</v>
      </c>
      <c r="E56" s="86"/>
      <c r="F56" s="86"/>
      <c r="G56" s="85"/>
    </row>
    <row r="57">
      <c r="D57" s="82" t="s">
        <v>64</v>
      </c>
      <c r="E57" s="89"/>
      <c r="F57" s="89"/>
      <c r="G57" s="90">
        <f>M32</f>
        <v>60</v>
      </c>
    </row>
    <row r="58">
      <c r="D58" s="103" t="s">
        <v>95</v>
      </c>
      <c r="E58" s="103"/>
      <c r="F58" s="103"/>
      <c r="G58" s="104">
        <f>SUM(G57)</f>
        <v>60</v>
      </c>
    </row>
    <row r="59">
      <c r="D59" s="105" t="s">
        <v>96</v>
      </c>
      <c r="E59" s="105"/>
      <c r="F59" s="105"/>
      <c r="G59" s="106">
        <f>SUM(G55,G58)</f>
        <v>620</v>
      </c>
    </row>
    <row r="60">
      <c r="D60" s="84" t="s">
        <v>97</v>
      </c>
      <c r="E60" s="84"/>
      <c r="F60" s="84"/>
      <c r="G60" s="85"/>
    </row>
    <row r="61">
      <c r="D61" s="82" t="s">
        <v>14</v>
      </c>
      <c r="E61" s="89"/>
      <c r="F61" s="89"/>
      <c r="G61" s="90">
        <f>N32</f>
        <v>640</v>
      </c>
    </row>
    <row r="62">
      <c r="D62" s="82" t="s">
        <v>15</v>
      </c>
      <c r="E62" s="89"/>
      <c r="F62" s="89"/>
      <c r="G62" s="90">
        <f>O32</f>
        <v>75</v>
      </c>
    </row>
    <row r="63">
      <c r="D63" s="103" t="s">
        <v>98</v>
      </c>
      <c r="E63" s="103"/>
      <c r="F63" s="103"/>
      <c r="G63" s="100">
        <f>SUM(G61:G62)</f>
        <v>715</v>
      </c>
    </row>
    <row r="64">
      <c r="D64" s="107" t="s">
        <v>99</v>
      </c>
      <c r="E64" s="107"/>
      <c r="F64" s="107"/>
      <c r="G64" s="108">
        <f>SUM(G59,G63)</f>
        <v>1335</v>
      </c>
    </row>
  </sheetData>
  <mergeCells count="39">
    <mergeCell ref="A19:A20"/>
    <mergeCell ref="B19:I19"/>
    <mergeCell ref="J19:M19"/>
    <mergeCell ref="N19:O19"/>
    <mergeCell ref="P19:P21"/>
    <mergeCell ref="R19:R20"/>
    <mergeCell ref="A23:A24"/>
    <mergeCell ref="A35:B35"/>
    <mergeCell ref="D35:G35"/>
    <mergeCell ref="A36:B36"/>
    <mergeCell ref="D36:G36"/>
    <mergeCell ref="D37:F37"/>
    <mergeCell ref="D38:F38"/>
    <mergeCell ref="D39:F39"/>
    <mergeCell ref="D40:F40"/>
    <mergeCell ref="D41:F41"/>
    <mergeCell ref="D42:F42"/>
    <mergeCell ref="D43:F43"/>
    <mergeCell ref="D44:F44"/>
    <mergeCell ref="D45:F45"/>
    <mergeCell ref="D46:F46"/>
    <mergeCell ref="D47:F47"/>
    <mergeCell ref="D48:F48"/>
    <mergeCell ref="D49:F49"/>
    <mergeCell ref="D50:F50"/>
    <mergeCell ref="D51:F51"/>
    <mergeCell ref="D52:F52"/>
    <mergeCell ref="D53:F53"/>
    <mergeCell ref="D54:F54"/>
    <mergeCell ref="D55:F55"/>
    <mergeCell ref="D56:F56"/>
    <mergeCell ref="D57:F57"/>
    <mergeCell ref="D58:F58"/>
    <mergeCell ref="D59:F59"/>
    <mergeCell ref="D60:F60"/>
    <mergeCell ref="D61:F61"/>
    <mergeCell ref="D62:F62"/>
    <mergeCell ref="D63:F63"/>
    <mergeCell ref="D64:F64"/>
  </mergeCells>
  <printOptions headings="0" gridLines="0"/>
  <pageMargins left="0.69999999999999996" right="0.69999999999999996" top="0.75" bottom="0.75" header="0.29999999999999999" footer="0.29999999999999999"/>
  <pageSetup paperSize="9" scale="100" fitToWidth="1" fitToHeight="1" pageOrder="downThenOver" orientation="landscape" usePrinterDefaults="1" blackAndWhite="0" draft="0" cellComments="none" useFirstPageNumber="0" errors="displayed" horizontalDpi="600" verticalDpi="600" copies="1"/>
  <headerFooter/>
  <drawing r:id="rId1"/>
</worksheet>
</file>

<file path=customXml/_rels/item1.xml.rels><?xml version="1.0" encoding="UTF-8" standalone="yes"?><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202B752A7F7B045A654E76EE94D2D3A" ma:contentTypeVersion="3" ma:contentTypeDescription="Create a new document." ma:contentTypeScope="" ma:versionID="4215b9e704be5d161ba1aad4d49aca4d">
  <xsd:schema xmlns:xsd="http://www.w3.org/2001/XMLSchema" xmlns:xs="http://www.w3.org/2001/XMLSchema" xmlns:p="http://schemas.microsoft.com/office/2006/metadata/properties" xmlns:ns2="fae806f6-f023-46bd-a0b6-7a3e9b23c51c" targetNamespace="http://schemas.microsoft.com/office/2006/metadata/properties" ma:root="true" ma:fieldsID="a5b5da177a5f3fa3ffbc571da91d5252" ns2:_="">
    <xsd:import namespace="fae806f6-f023-46bd-a0b6-7a3e9b23c51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e806f6-f023-46bd-a0b6-7a3e9b23c51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This value indicates the number of saves or revisions. The application is responsible for updating this value after each revision.</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bf558fa-0256-46ee-9b15-a8db827864d9">
  <ds:schemaRefs>
    <ds:schemaRef ds:uri="http://schemas.microsoft.com/office/2006/metadata/properties"/>
    <ds:schemaRef ds:uri="http://www.w3.org/2001/XMLSchema-instance"/>
    <ds:schemaRef ds:uri="http://schemas.microsoft.com/office/infopath/2007/PartnerControls"/>
  </ds:schemaRefs>
</ds:datastoreItem>
</file>

<file path=customXml/itemProps2.xml><?xml version="1.0" encoding="utf-8"?>
<ds:datastoreItem xmlns:ds="http://schemas.openxmlformats.org/officeDocument/2006/customXml" ds:itemID="324baf86-917d-4e8d-9769-423253aa7f8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ae806f6-f023-46bd-a0b6-7a3e9b23c51c"/>
    <ds:schemaRef ds:uri="http://schemas.microsoft.com/office/2006/documentManagement/types"/>
    <ds:schemaRef ds:uri="http://schemas.microsoft.com/office/infopath/2007/PartnerControls"/>
    <ds:schemaRef ds:uri="http://schemas.openxmlformats.org/package/2006/metadata/core-properties"/>
    <ds:schemaRef ds:uri="http://www.w3.org/2001/XMLSchema-instance"/>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d05388f-3a8d-43f6-8d02-aaa927f868b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ONLYOFFICE/9.3.0.140</Application>
  <HeadingPairs>
    <vt:vector size="0" baseType="variant"/>
  </HeadingPairs>
  <TitlesOfParts>
    <vt:vector size="0" baseType="lpstr"/>
  </TitlesOfParts>
  <Manager/>
  <Company/>
  <HyperlinkBas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Phuc Nguyen</dc:creator>
  <cp:keywords/>
  <dc:description/>
  <cp:revision>1</cp:revision>
  <dcterms:created xsi:type="dcterms:W3CDTF">2023-11-23T10:03:05Z</dcterms:created>
  <dcterms:modified xsi:type="dcterms:W3CDTF">2026-03-04T06:49:02Z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0x010100F202B752A7F7B045A654E76EE94D2D3A</vt:lpwstr>
  </property>
  <property fmtid="{D5CDD505-2E9C-101B-9397-08002B2CF9AE}" pid="3" name="MediaServiceImageTags">
    <vt:lpwstr/>
  </property>
  <property fmtid="{D5CDD505-2E9C-101B-9397-08002B2CF9AE}" pid="4" name="Order">
    <vt:r8>3100.000000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y fmtid="{D5CDD505-2E9C-101B-9397-08002B2CF9AE}" pid="11" name="_SourceUrl">
    <vt:lpwstr/>
  </property>
  <property fmtid="{D5CDD505-2E9C-101B-9397-08002B2CF9AE}" pid="12" name="_SharedFileIndex">
    <vt:lpwstr/>
  </property>
</Properties>
</file>