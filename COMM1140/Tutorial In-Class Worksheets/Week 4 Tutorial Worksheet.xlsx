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heme/theme1.xml" ContentType="application/vnd.openxmlformats-officedocument.theme+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docProps/custom.xml" ContentType="application/vnd.openxmlformats-officedocument.custom-properties+xml"/>
  <Override PartName="/docProps/app.xml" ContentType="application/vnd.openxmlformats-officedocument.extended-properties+xml"/>
  <Override PartName="/xl/charts/colors8.xml" ContentType="application/vnd.ms-office.chartcolorstyle+xml"/>
  <Override PartName="/xl/charts/chart4.xml" ContentType="application/vnd.openxmlformats-officedocument.drawingml.chart+xml"/>
  <Override PartName="/docProps/core.xml" ContentType="application/vnd.openxmlformats-package.core-properties+xml"/>
  <Override PartName="/xl/charts/chart3.xml" ContentType="application/vnd.openxmlformats-officedocument.drawingml.chart+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styles.xml" ContentType="application/vnd.openxmlformats-officedocument.spreadsheetml.styles+xml"/>
  <Override PartName="/xl/charts/style2.xml" ContentType="application/vnd.ms-office.chartstyle+xml"/>
  <Override PartName="/xl/charts/chart2.xml" ContentType="application/vnd.openxmlformats-officedocument.drawingml.chart+xml"/>
  <Override PartName="/xl/externalLinks/externalLink1.xml" ContentType="application/vnd.openxmlformats-officedocument.spreadsheetml.externalLink+xml"/>
  <Override PartName="/xl/charts/colors5.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workbook.xml" ContentType="application/vnd.openxmlformats-officedocument.spreadsheetml.sheet.main+xml"/>
  <Override PartName="/xl/charts/colors3.xml" ContentType="application/vnd.ms-office.chartcolorstyle+xml"/>
  <Override PartName="/xl/charts/style7.xml" ContentType="application/vnd.ms-office.chartstyle+xml"/>
  <Override PartName="/xl/charts/style8.xml" ContentType="application/vnd.ms-office.chartstyle+xml"/>
  <Override PartName="/xl/charts/style3.xml" ContentType="application/vnd.ms-office.chartstyle+xml"/>
  <Override PartName="/xl/charts/chart7.xml" ContentType="application/vnd.openxmlformats-officedocument.drawingml.chart+xml"/>
  <Override PartName="/xl/charts/colors7.xml" ContentType="application/vnd.ms-office.chartcolorstyl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Tutorial Questions" sheetId="1" state="visible" r:id="rId5"/>
    <sheet name="Video Activity" sheetId="2" state="visible" r:id="rId6"/>
    <sheet name="Independent Study" sheetId="3" state="visible" r:id="rId7"/>
  </sheets>
  <externalReferences>
    <externalReference r:id="rId1"/>
  </externalReferences>
  <calcPr calcMode="manual" calcCompleted="0" calcOnSave="0"/>
  <extLst>
    <ext xmlns:x15="http://schemas.microsoft.com/office/spreadsheetml/2010/11/main" uri="{D0CA8CA8-9F24-4464-BF8E-62219DCF47F9}"/>
  </extLst>
</workbook>
</file>

<file path=xl/sharedStrings.xml><?xml version="1.0" encoding="utf-8"?>
<sst xmlns="http://schemas.openxmlformats.org/spreadsheetml/2006/main" count="151" uniqueCount="151">
  <si>
    <t xml:space="preserve">JB Hi-Fi Limited (JBH)</t>
  </si>
  <si>
    <t>Calculations</t>
  </si>
  <si>
    <t xml:space="preserve">All figures in millions of Australian Dollar.</t>
  </si>
  <si>
    <t>Ratios</t>
  </si>
  <si>
    <t xml:space="preserve">Industry average (2025)</t>
  </si>
  <si>
    <t xml:space="preserve">Ratio Name in IBIS</t>
  </si>
  <si>
    <t xml:space="preserve">Profitability ratios</t>
  </si>
  <si>
    <t xml:space="preserve">Income statement data</t>
  </si>
  <si>
    <t xml:space="preserve">Return on Total Assets</t>
  </si>
  <si>
    <t xml:space="preserve">Return on assets</t>
  </si>
  <si>
    <t xml:space="preserve">Return on Shareholders Funds</t>
  </si>
  <si>
    <t xml:space="preserve">Return on equity</t>
  </si>
  <si>
    <t>Sales</t>
  </si>
  <si>
    <t xml:space="preserve">Net Profit Margin</t>
  </si>
  <si>
    <t xml:space="preserve">Net profit margin</t>
  </si>
  <si>
    <t xml:space="preserve">Cost of sales</t>
  </si>
  <si>
    <t xml:space="preserve">Gross profit</t>
  </si>
  <si>
    <t xml:space="preserve">Other income</t>
  </si>
  <si>
    <t xml:space="preserve">Activity ratios</t>
  </si>
  <si>
    <t xml:space="preserve">Finance costs</t>
  </si>
  <si>
    <t xml:space="preserve">Asset Turnover Ratio</t>
  </si>
  <si>
    <t xml:space="preserve">Asset turnover</t>
  </si>
  <si>
    <t xml:space="preserve">Sales and marketing expenses</t>
  </si>
  <si>
    <t xml:space="preserve">Inventory turnover</t>
  </si>
  <si>
    <t xml:space="preserve">Occupancy expenses</t>
  </si>
  <si>
    <t xml:space="preserve">Receivable turnover</t>
  </si>
  <si>
    <t xml:space="preserve">Administration expenses</t>
  </si>
  <si>
    <t xml:space="preserve">Payable turnover</t>
  </si>
  <si>
    <t xml:space="preserve">Other expenses</t>
  </si>
  <si>
    <t xml:space="preserve">Days Stock Held</t>
  </si>
  <si>
    <t xml:space="preserve">Days inventory</t>
  </si>
  <si>
    <t xml:space="preserve">Profit before tax</t>
  </si>
  <si>
    <t xml:space="preserve">Debtors T/O (turnover)</t>
  </si>
  <si>
    <t xml:space="preserve">Days receivable</t>
  </si>
  <si>
    <t xml:space="preserve">Tax expense</t>
  </si>
  <si>
    <t xml:space="preserve">Creditors T/O (turn over)</t>
  </si>
  <si>
    <t xml:space="preserve">Days payable</t>
  </si>
  <si>
    <t xml:space="preserve">Net profit after tax</t>
  </si>
  <si>
    <t xml:space="preserve">Liquidity ratios</t>
  </si>
  <si>
    <t xml:space="preserve">Balance sheet data</t>
  </si>
  <si>
    <t xml:space="preserve">Current Ratio</t>
  </si>
  <si>
    <t xml:space="preserve">Current ratio</t>
  </si>
  <si>
    <t xml:space="preserve">Quick Ratio</t>
  </si>
  <si>
    <t xml:space="preserve">Quick ratio</t>
  </si>
  <si>
    <t xml:space="preserve">Current assets</t>
  </si>
  <si>
    <t xml:space="preserve">Cash and cash equivalent</t>
  </si>
  <si>
    <t xml:space="preserve">Solvency ratios</t>
  </si>
  <si>
    <t xml:space="preserve">Trade and other receivables</t>
  </si>
  <si>
    <t>Gearing</t>
  </si>
  <si>
    <t xml:space="preserve">Debt to asset ratio</t>
  </si>
  <si>
    <t>Inventories</t>
  </si>
  <si>
    <t xml:space="preserve">Debt to equity ratio</t>
  </si>
  <si>
    <t xml:space="preserve">Other current assets</t>
  </si>
  <si>
    <t xml:space="preserve">Leverage ratio</t>
  </si>
  <si>
    <t xml:space="preserve">Total current assets</t>
  </si>
  <si>
    <t xml:space="preserve">Non-current assets</t>
  </si>
  <si>
    <t xml:space="preserve">ROE (DuPont)</t>
  </si>
  <si>
    <t xml:space="preserve">Plant and equipment</t>
  </si>
  <si>
    <t xml:space="preserve">Deferred tax assets</t>
  </si>
  <si>
    <t xml:space="preserve">Other non-current assets</t>
  </si>
  <si>
    <t xml:space="preserve">Intangibles &amp; goodwill</t>
  </si>
  <si>
    <t>Comments</t>
  </si>
  <si>
    <t xml:space="preserve">Right-of-use assets</t>
  </si>
  <si>
    <t>Profitability</t>
  </si>
  <si>
    <t>Liquidity</t>
  </si>
  <si>
    <t xml:space="preserve">Total non-current assets</t>
  </si>
  <si>
    <t xml:space="preserve">Total assets</t>
  </si>
  <si>
    <t xml:space="preserve">Current Liabilities</t>
  </si>
  <si>
    <t xml:space="preserve">Trade and other payables</t>
  </si>
  <si>
    <t>Borrowings</t>
  </si>
  <si>
    <t>-</t>
  </si>
  <si>
    <t xml:space="preserve">Deferred revenue</t>
  </si>
  <si>
    <t>Provisions</t>
  </si>
  <si>
    <t xml:space="preserve">Lease liabilities</t>
  </si>
  <si>
    <t xml:space="preserve">Current tax liabilities</t>
  </si>
  <si>
    <t xml:space="preserve">Other current liabilities</t>
  </si>
  <si>
    <t xml:space="preserve">Total current liabilities</t>
  </si>
  <si>
    <t xml:space="preserve">Non-current liabilities</t>
  </si>
  <si>
    <t xml:space="preserve">Other non-current liabilities</t>
  </si>
  <si>
    <t>Solvency</t>
  </si>
  <si>
    <t xml:space="preserve">Total non-current liabilities</t>
  </si>
  <si>
    <t xml:space="preserve">Total liabilities</t>
  </si>
  <si>
    <t>Equity</t>
  </si>
  <si>
    <t>Activity</t>
  </si>
  <si>
    <t xml:space="preserve">Contributed equity</t>
  </si>
  <si>
    <t>Reserves</t>
  </si>
  <si>
    <t xml:space="preserve">Non-Controlling Interests</t>
  </si>
  <si>
    <t xml:space="preserve">Retained earnings</t>
  </si>
  <si>
    <t xml:space="preserve">Total equity</t>
  </si>
  <si>
    <t xml:space="preserve">Total liabilities and equity</t>
  </si>
  <si>
    <t>DuPont</t>
  </si>
  <si>
    <t xml:space="preserve">Imagine you are Vlad and assigned to offer consulting services to Techtronics, a fictitious electronics company specialising in the sale of three products: eWatch, eTablet, and ePhone. You have been asked to use financial ratios to interpret the company's current financial performance and ultimately find ways to improve company profits. Your task is to analyse the provided financial data over a three-year period and provide insights into the company's performance. Good luck!</t>
  </si>
  <si>
    <t xml:space="preserve">Techtronics - Income Statement (in $ thousands)</t>
  </si>
  <si>
    <t>Revenue</t>
  </si>
  <si>
    <t xml:space="preserve">Cost of Goods Sold</t>
  </si>
  <si>
    <t xml:space="preserve">Gross Profit</t>
  </si>
  <si>
    <t xml:space="preserve">Operating Expenses:</t>
  </si>
  <si>
    <t xml:space="preserve">Salaries &amp; Wages</t>
  </si>
  <si>
    <t xml:space="preserve">Marketing Expenses</t>
  </si>
  <si>
    <t xml:space="preserve">Research &amp; Development</t>
  </si>
  <si>
    <t xml:space="preserve">Rental Costs</t>
  </si>
  <si>
    <t>Utilities</t>
  </si>
  <si>
    <t xml:space="preserve">Other Expenses</t>
  </si>
  <si>
    <t xml:space="preserve">Total Operating Expenses</t>
  </si>
  <si>
    <t xml:space="preserve">Net Profit</t>
  </si>
  <si>
    <t xml:space="preserve">Techtronics - Balance Sheet (in $ thousands)</t>
  </si>
  <si>
    <t>Assets</t>
  </si>
  <si>
    <t>Cash</t>
  </si>
  <si>
    <t xml:space="preserve">Accounts Receivable</t>
  </si>
  <si>
    <t>Inventory</t>
  </si>
  <si>
    <t xml:space="preserve">Total Assets</t>
  </si>
  <si>
    <t xml:space="preserve">Liabilities &amp; Equity</t>
  </si>
  <si>
    <t xml:space="preserve">Accounts Payable</t>
  </si>
  <si>
    <t xml:space="preserve">Long-term Debt</t>
  </si>
  <si>
    <t xml:space="preserve">Total Shareholders Equity</t>
  </si>
  <si>
    <t xml:space="preserve">Total Liabilities &amp; Equity</t>
  </si>
  <si>
    <t xml:space="preserve">Revenue Breakdown across Techtronics Products (in $ thousands)</t>
  </si>
  <si>
    <t>eWatch</t>
  </si>
  <si>
    <t xml:space="preserve">Total Revenue</t>
  </si>
  <si>
    <t xml:space="preserve">Total COGS</t>
  </si>
  <si>
    <t>eTablet</t>
  </si>
  <si>
    <t>ePhone</t>
  </si>
  <si>
    <t>Questions</t>
  </si>
  <si>
    <t xml:space="preserve">Based on income statemet data, has profitability improved or worsened across the period?</t>
  </si>
  <si>
    <t xml:space="preserve">Gross Profit Margin</t>
  </si>
  <si>
    <t xml:space="preserve">Answer </t>
  </si>
  <si>
    <t>Worsened</t>
  </si>
  <si>
    <t xml:space="preserve">Complete a trend analysis of the operating expenses to determine which expense Techtronics management should be most concerned about. Compare the changes in operating expenses to revenue and COGS. Use 2021 as the base year.</t>
  </si>
  <si>
    <t xml:space="preserve">21 to 22</t>
  </si>
  <si>
    <t xml:space="preserve">22 to 23</t>
  </si>
  <si>
    <t xml:space="preserve">21 to 23</t>
  </si>
  <si>
    <t xml:space="preserve">% Growth in Revenue and Expenses vs. 2021</t>
  </si>
  <si>
    <t>Answer:</t>
  </si>
  <si>
    <t xml:space="preserve">The company should be most concerned about increasing rental prices</t>
  </si>
  <si>
    <t xml:space="preserve">Which product provides Techtronics the best gross margin?</t>
  </si>
  <si>
    <t xml:space="preserve">Why might Techtronics be making a decision to sell the eWatch at a loss?</t>
  </si>
  <si>
    <t xml:space="preserve">The loss is decreasing over the last three years, incentive to purchase other products, old stock</t>
  </si>
  <si>
    <t xml:space="preserve">Based on your analysis of costs and margins, what advice would you give to Techtronics Management to improve financial performance in 2024?</t>
  </si>
  <si>
    <t xml:space="preserve">Consider negotiating rental prices or moving
Look at stock levels (high COGS)
Adjusting COGS may however affect the quality of the product, cannot be used for premium items</t>
  </si>
  <si>
    <t xml:space="preserve">Independent Study</t>
  </si>
  <si>
    <t>Transaction</t>
  </si>
  <si>
    <t>Ratio</t>
  </si>
  <si>
    <t>Effect</t>
  </si>
  <si>
    <t xml:space="preserve">#1:  Due to rising inflation in Australia, many consumers are reducing discretionary purchases. In response, JB Hi-Fi has adjusted its inventory levels to mitigate overstocking issues. Inventory purchases from suppliers have been reduced to 80% of previous levels.</t>
  </si>
  <si>
    <t xml:space="preserve">#2: The increasing competition from online-only stores has prompted JB Hi-Fi to offer a 10% discount on its high-end entertainment products and home appliances. Assume that demand in 2023 remains constant.</t>
  </si>
  <si>
    <t xml:space="preserve">#3: To enhance competitiveness against online-only retailers, JB Hi-Fi has decided to increase its marketing budget by $50 million. Assume that demand in 2023 remains constant.</t>
  </si>
  <si>
    <t xml:space="preserve">#4: JB Hi-Fi's management recently identified a calculation error in the depreciation of plant and equipment. The initial estimated useful life of 10 years has been revised to 6 years, reflecting current market conditions.</t>
  </si>
  <si>
    <t xml:space="preserve">#5: As part of its strategy to expand market share, JB Hi-Fi is planning to acquire several online businesses next year. Consequently, the management has decided to reduce the dividend payout by 5% compared to the previous year.</t>
  </si>
  <si>
    <t xml:space="preserve">Debt to equity</t>
  </si>
  <si>
    <t xml:space="preserve">#6: To fund the expansion outlined in situation 5, JB Hi-Fi has decided to raise $60 million of long-term debt as of 1 July 2022. This debt carries an interest rate of 8% per annum. Interest payments are due semi-annually on 30 June and 31 December.</t>
  </si>
  <si>
    <t xml:space="preserve">Gross margin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</si>
</sst>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_(* #,##0.00_);_(* \(#,##0.00\);_(* &quot;-&quot;??_);_(@_)"/>
    <numFmt numFmtId="165" formatCode="_(* #,##0.0_);_(* \(#,##0.0\);_(* &quot;-&quot;??_);_(@_)"/>
    <numFmt numFmtId="166" formatCode="&quot;$&quot;#,##0;[Red]\-&quot;$&quot;#,##0"/>
  </numFmts>
  <fonts count="18">
    <font>
      <sz val="12.000000"/>
      <color theme="1"/>
      <name val="Calibri"/>
      <scheme val="minor"/>
    </font>
    <font>
      <sz val="12.000000"/>
      <color rgb="FF3F3F76"/>
      <name val="Calibri"/>
      <scheme val="minor"/>
    </font>
    <font>
      <sz val="11.000000"/>
      <color theme="1"/>
      <name val="Calibri"/>
      <scheme val="minor"/>
    </font>
    <font>
      <b/>
      <sz val="12.000000"/>
      <color indexed="2"/>
      <name val="Calibri"/>
      <scheme val="minor"/>
    </font>
    <font>
      <b/>
      <u/>
      <sz val="12.000000"/>
      <color indexed="2"/>
      <name val="Calibri"/>
      <scheme val="minor"/>
    </font>
    <font>
      <b/>
      <sz val="12.000000"/>
      <color theme="1"/>
      <name val="Calibri"/>
      <scheme val="minor"/>
    </font>
    <font>
      <b/>
      <sz val="12.000000"/>
      <color theme="1"/>
      <name val="Arial"/>
    </font>
    <font>
      <b/>
      <u/>
      <sz val="12.000000"/>
      <color theme="1"/>
      <name val="Calibri"/>
      <scheme val="minor"/>
    </font>
    <font>
      <sz val="11.000000"/>
      <color indexed="63"/>
      <name val="Arial"/>
    </font>
    <font>
      <sz val="11.000000"/>
      <color indexed="63"/>
      <name val="Roboto"/>
    </font>
    <font>
      <b/>
      <i/>
      <sz val="12.000000"/>
      <color theme="1"/>
      <name val="Calibri"/>
      <scheme val="minor"/>
    </font>
    <font>
      <sz val="12.000000"/>
      <color indexed="2"/>
      <name val="Calibri"/>
      <scheme val="minor"/>
    </font>
    <font>
      <sz val="12.000000"/>
      <color theme="1"/>
      <name val="Calibri"/>
    </font>
    <font>
      <sz val="12.000000"/>
      <color rgb="FF444444"/>
      <name val="Calibri"/>
    </font>
    <font>
      <b/>
      <sz val="12.000000"/>
      <color rgb="FF374151"/>
      <name val="Calibri"/>
    </font>
    <font>
      <sz val="12.000000"/>
      <color rgb="FF374151"/>
      <name val="Calibri"/>
    </font>
    <font>
      <b/>
      <u/>
      <sz val="12.000000"/>
      <color indexed="2"/>
      <name val="Calibri"/>
    </font>
    <font>
      <b/>
      <sz val="12.000000"/>
      <color theme="1"/>
      <name val="Calibri"/>
    </font>
  </fonts>
  <fills count="5">
    <fill>
      <patternFill patternType="none"/>
    </fill>
    <fill>
      <patternFill patternType="gray125"/>
    </fill>
    <fill>
      <patternFill patternType="solid">
        <fgColor indexed="47"/>
      </patternFill>
    </fill>
    <fill>
      <patternFill patternType="solid">
        <fgColor indexed="5"/>
      </patternFill>
    </fill>
    <fill>
      <patternFill patternType="solid">
        <fgColor rgb="FFF7F7F8"/>
      </patternFill>
    </fill>
  </fills>
  <borders count="38">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thin">
        <color auto="1"/>
      </left>
      <right style="thin">
        <color auto="1"/>
      </right>
      <top style="thin">
        <color auto="1"/>
      </top>
      <bottom style="thin">
        <color auto="1"/>
      </bottom>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none"/>
      <right style="medium">
        <color auto="1"/>
      </right>
      <top style="medium">
        <color auto="1"/>
      </top>
      <bottom style="none"/>
      <diagonal style="none"/>
    </border>
    <border>
      <left style="medium">
        <color auto="1"/>
      </left>
      <right style="none"/>
      <top style="none"/>
      <bottom style="none"/>
      <diagonal style="none"/>
    </border>
    <border>
      <left style="none"/>
      <right style="medium">
        <color auto="1"/>
      </right>
      <top style="none"/>
      <bottom style="none"/>
      <diagonal style="none"/>
    </border>
    <border>
      <left style="none"/>
      <right style="thin">
        <color auto="1"/>
      </right>
      <top style="thin">
        <color auto="1"/>
      </top>
      <bottom style="thin">
        <color auto="1"/>
      </bottom>
      <diagonal style="none"/>
    </border>
    <border>
      <left style="none"/>
      <right style="thin">
        <color auto="1"/>
      </right>
      <top style="thin">
        <color auto="1"/>
      </top>
      <bottom style="none"/>
      <diagonal style="none"/>
    </border>
    <border>
      <left style="medium">
        <color auto="1"/>
      </left>
      <right style="none"/>
      <top style="none"/>
      <bottom style="medium">
        <color auto="1"/>
      </bottom>
      <diagonal style="none"/>
    </border>
    <border>
      <left style="none"/>
      <right style="none"/>
      <top style="none"/>
      <bottom style="medium">
        <color auto="1"/>
      </bottom>
      <diagonal style="none"/>
    </border>
    <border>
      <left style="none"/>
      <right style="medium">
        <color auto="1"/>
      </right>
      <top style="none"/>
      <bottom style="medium">
        <color auto="1"/>
      </bottom>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thin">
        <color auto="1"/>
      </left>
      <right style="none"/>
      <top style="none"/>
      <bottom style="none"/>
      <diagonal style="none"/>
    </border>
    <border>
      <left style="none"/>
      <right style="thin">
        <color auto="1"/>
      </right>
      <top style="none"/>
      <bottom style="none"/>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medium">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none"/>
      <top style="medium">
        <color auto="1"/>
      </top>
      <bottom style="thin">
        <color rgb="FFD9D9E3"/>
      </bottom>
      <diagonal style="none"/>
    </border>
    <border>
      <left style="thin">
        <color rgb="FFD9D9E3"/>
      </left>
      <right style="none"/>
      <top style="medium">
        <color auto="1"/>
      </top>
      <bottom style="thin">
        <color rgb="FFD9D9E3"/>
      </bottom>
      <diagonal style="none"/>
    </border>
    <border>
      <left style="thin">
        <color rgb="FFD9D9E3"/>
      </left>
      <right style="medium">
        <color auto="1"/>
      </right>
      <top style="medium">
        <color auto="1"/>
      </top>
      <bottom style="thin">
        <color rgb="FFD9D9E3"/>
      </bottom>
      <diagonal style="none"/>
    </border>
    <border>
      <left style="medium">
        <color auto="1"/>
      </left>
      <right style="none"/>
      <top style="none"/>
      <bottom style="thin">
        <color rgb="FFD9D9E3"/>
      </bottom>
      <diagonal style="none"/>
    </border>
    <border>
      <left style="thin">
        <color rgb="FFD9D9E3"/>
      </left>
      <right style="none"/>
      <top style="none"/>
      <bottom style="thin">
        <color rgb="FFD9D9E3"/>
      </bottom>
      <diagonal style="none"/>
    </border>
    <border>
      <left style="thin">
        <color rgb="FFD9D9E3"/>
      </left>
      <right style="medium">
        <color auto="1"/>
      </right>
      <top style="none"/>
      <bottom style="thin">
        <color rgb="FFD9D9E3"/>
      </bottom>
      <diagonal style="none"/>
    </border>
    <border>
      <left style="thin">
        <color rgb="FFD9D9E3"/>
      </left>
      <right style="none"/>
      <top style="none"/>
      <bottom style="medium">
        <color auto="1"/>
      </bottom>
      <diagonal style="none"/>
    </border>
    <border>
      <left style="thin">
        <color rgb="FFD9D9E3"/>
      </left>
      <right style="medium">
        <color auto="1"/>
      </right>
      <top style="none"/>
      <bottom style="medium">
        <color auto="1"/>
      </bottom>
      <diagonal style="none"/>
    </border>
    <border>
      <left style="thin">
        <color rgb="FFD9D9E3"/>
      </left>
      <right style="none"/>
      <top style="thin">
        <color rgb="FFD9D9E3"/>
      </top>
      <bottom style="none"/>
      <diagonal style="none"/>
    </border>
    <border>
      <left style="thin">
        <color auto="1"/>
      </left>
      <right style="none"/>
      <top style="none"/>
      <bottom style="thin">
        <color rgb="FFD9D9E3"/>
      </bottom>
      <diagonal style="none"/>
    </border>
    <border>
      <left style="thin">
        <color rgb="FFD9D9E3"/>
      </left>
      <right style="thin">
        <color auto="1"/>
      </right>
      <top style="none"/>
      <bottom style="thin">
        <color rgb="FFD9D9E3"/>
      </bottom>
      <diagonal style="none"/>
    </border>
    <border>
      <left style="thin">
        <color rgb="FFD9D9E3"/>
      </left>
      <right style="none"/>
      <top style="none"/>
      <bottom style="thin">
        <color auto="1"/>
      </bottom>
      <diagonal style="none"/>
    </border>
    <border>
      <left style="thin">
        <color rgb="FFD9D9E3"/>
      </left>
      <right style="thin">
        <color auto="1"/>
      </right>
      <top style="none"/>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s>
  <cellStyleXfs count="6">
    <xf fontId="0" fillId="0" borderId="0" numFmtId="0" applyNumberFormat="1" applyFont="1" applyFill="1" applyBorder="1"/>
    <xf fontId="0" fillId="0" borderId="0" numFmtId="164" applyNumberFormat="1" applyFont="0" applyFill="0" applyBorder="0" applyProtection="0"/>
    <xf fontId="1" fillId="2" borderId="1" numFmtId="0" applyNumberFormat="0" applyFont="1" applyFill="1" applyBorder="1" applyProtection="0"/>
    <xf fontId="2" fillId="0" borderId="0" numFmtId="0" applyNumberFormat="1" applyFont="1" applyFill="1" applyBorder="1"/>
    <xf fontId="2" fillId="0" borderId="0" numFmtId="9" applyNumberFormat="1" applyFont="0" applyFill="0" applyBorder="0" applyProtection="0"/>
    <xf fontId="0" fillId="0" borderId="0" numFmtId="9" applyNumberFormat="1" applyFont="0" applyFill="0" applyBorder="0" applyProtection="0"/>
  </cellStyleXfs>
  <cellXfs count="134">
    <xf fontId="0" fillId="0" borderId="0" numFmtId="0" xfId="0"/>
    <xf fontId="3" fillId="3" borderId="0" numFmtId="0" xfId="0" applyFont="1" applyFill="1"/>
    <xf fontId="4" fillId="0" borderId="0" numFmtId="0" xfId="0" applyFont="1"/>
    <xf fontId="5" fillId="0" borderId="0" numFmtId="0" xfId="0" applyFont="1"/>
    <xf fontId="5" fillId="0" borderId="0" numFmtId="0" xfId="0" applyFont="1" applyAlignment="1">
      <alignment wrapText="1"/>
    </xf>
    <xf fontId="6" fillId="0" borderId="0" numFmtId="0" xfId="0" applyFont="1"/>
    <xf fontId="7" fillId="0" borderId="0" numFmtId="0" xfId="0" applyFont="1" applyAlignment="1">
      <alignment horizontal="left"/>
    </xf>
    <xf fontId="8" fillId="0" borderId="0" numFmtId="0" xfId="0" applyFont="1"/>
    <xf fontId="0" fillId="0" borderId="2" numFmtId="0" xfId="0" applyBorder="1"/>
    <xf fontId="0" fillId="0" borderId="2" numFmtId="10" xfId="5" applyNumberFormat="1" applyBorder="1"/>
    <xf fontId="1" fillId="2" borderId="2" numFmtId="10" xfId="2" applyNumberFormat="1" applyFont="1" applyFill="1" applyBorder="1"/>
    <xf fontId="0" fillId="0" borderId="0" numFmtId="2" xfId="5" applyNumberFormat="1"/>
    <xf fontId="1" fillId="0" borderId="0" numFmtId="10" xfId="5" applyNumberFormat="1" applyFont="1"/>
    <xf fontId="0" fillId="0" borderId="3" numFmtId="0" xfId="0" applyBorder="1"/>
    <xf fontId="5" fillId="0" borderId="4" numFmtId="0" xfId="0" applyFont="1" applyBorder="1"/>
    <xf fontId="5" fillId="0" borderId="5" numFmtId="0" xfId="0" applyFont="1" applyBorder="1"/>
    <xf fontId="1" fillId="0" borderId="0" numFmtId="2" xfId="2" applyNumberFormat="1" applyFont="1"/>
    <xf fontId="0" fillId="0" borderId="6" numFmtId="0" xfId="0" applyBorder="1"/>
    <xf fontId="0" fillId="0" borderId="0" numFmtId="165" xfId="1" applyNumberFormat="1"/>
    <xf fontId="0" fillId="0" borderId="7" numFmtId="164" xfId="0" applyNumberFormat="1" applyBorder="1"/>
    <xf fontId="0" fillId="0" borderId="0" numFmtId="164" xfId="0" applyNumberFormat="1"/>
    <xf fontId="9" fillId="0" borderId="0" numFmtId="0" xfId="0" applyFont="1"/>
    <xf fontId="0" fillId="0" borderId="0" numFmtId="10" xfId="5" applyNumberFormat="1"/>
    <xf fontId="5" fillId="0" borderId="0" numFmtId="10" xfId="5" applyNumberFormat="1" applyFont="1"/>
    <xf fontId="5" fillId="0" borderId="6" numFmtId="0" xfId="0" applyFont="1" applyBorder="1"/>
    <xf fontId="5" fillId="0" borderId="0" numFmtId="164" xfId="1" applyNumberFormat="1" applyFont="1"/>
    <xf fontId="5" fillId="0" borderId="7" numFmtId="164" xfId="1" applyNumberFormat="1" applyFont="1" applyBorder="1"/>
    <xf fontId="0" fillId="0" borderId="2" numFmtId="2" xfId="0" applyNumberFormat="1" applyBorder="1"/>
    <xf fontId="1" fillId="2" borderId="8" numFmtId="2" xfId="2" applyNumberFormat="1" applyFont="1" applyFill="1" applyBorder="1"/>
    <xf fontId="1" fillId="2" borderId="9" numFmtId="2" xfId="2" applyNumberFormat="1" applyFont="1" applyFill="1" applyBorder="1"/>
    <xf fontId="5" fillId="0" borderId="10" numFmtId="0" xfId="0" applyFont="1" applyBorder="1"/>
    <xf fontId="5" fillId="0" borderId="11" numFmtId="164" xfId="1" applyNumberFormat="1" applyFont="1" applyBorder="1"/>
    <xf fontId="5" fillId="0" borderId="12" numFmtId="164" xfId="1" applyNumberFormat="1" applyFont="1" applyBorder="1"/>
    <xf fontId="1" fillId="2" borderId="2" numFmtId="2" xfId="2" applyNumberFormat="1" applyFont="1" applyFill="1" applyBorder="1"/>
    <xf fontId="10" fillId="0" borderId="6" numFmtId="0" xfId="0" applyFont="1" applyBorder="1"/>
    <xf fontId="5" fillId="0" borderId="7" numFmtId="0" xfId="0" applyFont="1" applyBorder="1"/>
    <xf fontId="1" fillId="2" borderId="8" numFmtId="10" xfId="2" applyNumberFormat="1" applyFont="1" applyFill="1" applyBorder="1"/>
    <xf fontId="1" fillId="0" borderId="0" numFmtId="10" xfId="2" applyNumberFormat="1" applyFont="1"/>
    <xf fontId="5" fillId="0" borderId="0" numFmtId="164" xfId="0" applyNumberFormat="1" applyFont="1"/>
    <xf fontId="5" fillId="0" borderId="7" numFmtId="164" xfId="0" applyNumberFormat="1" applyFont="1" applyBorder="1"/>
    <xf fontId="3" fillId="0" borderId="2" numFmtId="0" xfId="0" applyFont="1" applyBorder="1"/>
    <xf fontId="11" fillId="0" borderId="2" numFmtId="10" xfId="5" applyNumberFormat="1" applyFont="1" applyBorder="1"/>
    <xf fontId="10" fillId="0" borderId="0" numFmtId="0" xfId="0" applyFont="1"/>
    <xf fontId="0" fillId="0" borderId="13" numFmtId="0" xfId="0" applyBorder="1" applyAlignment="1">
      <alignment horizontal="left" vertical="top" wrapText="1"/>
    </xf>
    <xf fontId="0" fillId="0" borderId="14" numFmtId="0" xfId="0" applyBorder="1" applyAlignment="1">
      <alignment horizontal="left" vertical="top" wrapText="1"/>
    </xf>
    <xf fontId="0" fillId="0" borderId="9" numFmtId="0" xfId="0" applyBorder="1" applyAlignment="1">
      <alignment horizontal="left" vertical="top" wrapText="1"/>
    </xf>
    <xf fontId="3" fillId="0" borderId="6" numFmtId="0" xfId="0" applyFont="1" applyBorder="1"/>
    <xf fontId="3" fillId="0" borderId="0" numFmtId="164" xfId="0" applyNumberFormat="1" applyFont="1"/>
    <xf fontId="3" fillId="0" borderId="7" numFmtId="164" xfId="0" applyNumberFormat="1" applyFont="1" applyBorder="1"/>
    <xf fontId="0" fillId="0" borderId="15" numFmtId="0" xfId="0" applyBorder="1" applyAlignment="1">
      <alignment horizontal="left" vertical="top" wrapText="1"/>
    </xf>
    <xf fontId="0" fillId="0" borderId="0" numFmtId="0" xfId="0" applyAlignment="1">
      <alignment horizontal="left" vertical="top" wrapText="1"/>
    </xf>
    <xf fontId="0" fillId="0" borderId="16" numFmtId="0" xfId="0" applyBorder="1" applyAlignment="1">
      <alignment horizontal="left" vertical="top" wrapText="1"/>
    </xf>
    <xf fontId="0" fillId="0" borderId="17" numFmtId="0" xfId="0" applyBorder="1" applyAlignment="1">
      <alignment horizontal="left" vertical="top" wrapText="1"/>
    </xf>
    <xf fontId="0" fillId="0" borderId="18" numFmtId="0" xfId="0" applyBorder="1" applyAlignment="1">
      <alignment horizontal="left" vertical="top" wrapText="1"/>
    </xf>
    <xf fontId="0" fillId="0" borderId="19" numFmtId="0" xfId="0" applyBorder="1" applyAlignment="1">
      <alignment horizontal="left" vertical="top" wrapText="1"/>
    </xf>
    <xf fontId="0" fillId="0" borderId="0" numFmtId="0" xfId="0" applyAlignment="1">
      <alignment vertical="top"/>
    </xf>
    <xf fontId="0" fillId="0" borderId="0" numFmtId="0" xfId="0" applyAlignment="1">
      <alignment vertical="top" wrapText="1"/>
    </xf>
    <xf fontId="3" fillId="0" borderId="10" numFmtId="0" xfId="0" applyFont="1" applyBorder="1"/>
    <xf fontId="3" fillId="0" borderId="11" numFmtId="164" xfId="0" applyNumberFormat="1" applyFont="1" applyBorder="1"/>
    <xf fontId="3" fillId="0" borderId="12" numFmtId="164" xfId="0" applyNumberFormat="1" applyFont="1" applyBorder="1"/>
    <xf fontId="10" fillId="0" borderId="0" numFmtId="0" xfId="0" applyFont="1" applyAlignment="1">
      <alignment vertical="top"/>
    </xf>
    <xf fontId="0" fillId="0" borderId="0" numFmtId="0" xfId="0" applyAlignment="1">
      <alignment horizontal="left" vertical="top"/>
    </xf>
    <xf fontId="12" fillId="0" borderId="0" numFmtId="0" xfId="3" applyFont="1"/>
    <xf fontId="13" fillId="0" borderId="20" numFmtId="0" xfId="3" applyFont="1" applyBorder="1" applyAlignment="1">
      <alignment horizontal="left" wrapText="1"/>
    </xf>
    <xf fontId="12" fillId="0" borderId="21" numFmtId="0" xfId="3" applyFont="1" applyBorder="1" applyAlignment="1">
      <alignment horizontal="left" wrapText="1"/>
    </xf>
    <xf fontId="12" fillId="0" borderId="22" numFmtId="0" xfId="3" applyFont="1" applyBorder="1" applyAlignment="1">
      <alignment horizontal="left" wrapText="1"/>
    </xf>
    <xf fontId="14" fillId="4" borderId="0" numFmtId="0" xfId="3" applyFont="1" applyFill="1"/>
    <xf fontId="15" fillId="4" borderId="23" numFmtId="0" xfId="3" applyFont="1" applyFill="1" applyBorder="1"/>
    <xf fontId="14" fillId="4" borderId="24" numFmtId="0" xfId="3" applyFont="1" applyFill="1" applyBorder="1"/>
    <xf fontId="14" fillId="4" borderId="25" numFmtId="0" xfId="3" applyFont="1" applyFill="1" applyBorder="1"/>
    <xf fontId="15" fillId="4" borderId="26" numFmtId="0" xfId="3" applyFont="1" applyFill="1" applyBorder="1"/>
    <xf fontId="15" fillId="4" borderId="27" numFmtId="3" xfId="3" applyNumberFormat="1" applyFont="1" applyFill="1" applyBorder="1"/>
    <xf fontId="15" fillId="4" borderId="28" numFmtId="3" xfId="3" applyNumberFormat="1" applyFont="1" applyFill="1" applyBorder="1"/>
    <xf fontId="14" fillId="4" borderId="26" numFmtId="0" xfId="3" applyFont="1" applyFill="1" applyBorder="1"/>
    <xf fontId="14" fillId="4" borderId="27" numFmtId="3" xfId="3" applyNumberFormat="1" applyFont="1" applyFill="1" applyBorder="1"/>
    <xf fontId="14" fillId="4" borderId="28" numFmtId="3" xfId="3" applyNumberFormat="1" applyFont="1" applyFill="1" applyBorder="1"/>
    <xf fontId="15" fillId="4" borderId="27" numFmtId="0" xfId="3" applyFont="1" applyFill="1" applyBorder="1"/>
    <xf fontId="15" fillId="4" borderId="28" numFmtId="0" xfId="3" applyFont="1" applyFill="1" applyBorder="1"/>
    <xf fontId="14" fillId="4" borderId="10" numFmtId="0" xfId="3" applyFont="1" applyFill="1" applyBorder="1"/>
    <xf fontId="14" fillId="4" borderId="29" numFmtId="3" xfId="3" applyNumberFormat="1" applyFont="1" applyFill="1" applyBorder="1"/>
    <xf fontId="14" fillId="4" borderId="30" numFmtId="3" xfId="3" applyNumberFormat="1" applyFont="1" applyFill="1" applyBorder="1"/>
    <xf fontId="14" fillId="4" borderId="31" numFmtId="0" xfId="3" applyFont="1" applyFill="1" applyBorder="1"/>
    <xf fontId="15" fillId="4" borderId="31" numFmtId="0" xfId="3" applyFont="1" applyFill="1" applyBorder="1"/>
    <xf fontId="15" fillId="4" borderId="27" numFmtId="166" xfId="3" applyNumberFormat="1" applyFont="1" applyFill="1" applyBorder="1"/>
    <xf fontId="15" fillId="4" borderId="28" numFmtId="166" xfId="3" applyNumberFormat="1" applyFont="1" applyFill="1" applyBorder="1"/>
    <xf fontId="15" fillId="4" borderId="10" numFmtId="0" xfId="3" applyFont="1" applyFill="1" applyBorder="1"/>
    <xf fontId="15" fillId="4" borderId="29" numFmtId="166" xfId="3" applyNumberFormat="1" applyFont="1" applyFill="1" applyBorder="1" quotePrefix="1"/>
    <xf fontId="15" fillId="4" borderId="30" numFmtId="166" xfId="3" applyNumberFormat="1" applyFont="1" applyFill="1" applyBorder="1" quotePrefix="1"/>
    <xf fontId="16" fillId="3" borderId="0" numFmtId="0" xfId="3" applyFont="1" applyFill="1"/>
    <xf fontId="17" fillId="0" borderId="0" numFmtId="0" xfId="3" applyFont="1" applyAlignment="1">
      <alignment horizontal="center" vertical="center"/>
    </xf>
    <xf fontId="17" fillId="0" borderId="0" numFmtId="0" xfId="3" applyFont="1"/>
    <xf fontId="12" fillId="0" borderId="2" numFmtId="0" xfId="3" applyFont="1" applyBorder="1" applyAlignment="1">
      <alignment wrapText="1"/>
    </xf>
    <xf fontId="17" fillId="0" borderId="2" numFmtId="0" xfId="3" applyFont="1" applyBorder="1"/>
    <xf fontId="12" fillId="0" borderId="2" numFmtId="0" xfId="3" applyFont="1" applyBorder="1"/>
    <xf fontId="12" fillId="0" borderId="2" numFmtId="10" xfId="4" applyNumberFormat="1" applyFont="1" applyBorder="1"/>
    <xf fontId="12" fillId="3" borderId="2" numFmtId="0" xfId="3" applyFont="1" applyFill="1" applyBorder="1"/>
    <xf fontId="17" fillId="0" borderId="0" numFmtId="0" xfId="3" applyFont="1" applyAlignment="1">
      <alignment horizontal="left" wrapText="1"/>
    </xf>
    <xf fontId="12" fillId="0" borderId="0" numFmtId="0" xfId="3" applyFont="1" applyAlignment="1">
      <alignment wrapText="1"/>
    </xf>
    <xf fontId="17" fillId="0" borderId="13" numFmtId="0" xfId="3" applyFont="1" applyBorder="1" applyAlignment="1">
      <alignment wrapText="1"/>
    </xf>
    <xf fontId="17" fillId="0" borderId="14" numFmtId="0" xfId="3" applyFont="1" applyBorder="1"/>
    <xf fontId="17" fillId="0" borderId="9" numFmtId="0" xfId="3" applyFont="1" applyBorder="1"/>
    <xf fontId="15" fillId="0" borderId="32" numFmtId="0" xfId="3" applyFont="1" applyBorder="1"/>
    <xf fontId="15" fillId="0" borderId="27" numFmtId="3" xfId="3" applyNumberFormat="1" applyFont="1" applyBorder="1"/>
    <xf fontId="15" fillId="0" borderId="27" numFmtId="10" xfId="4" applyNumberFormat="1" applyFont="1" applyBorder="1"/>
    <xf fontId="15" fillId="0" borderId="33" numFmtId="10" xfId="4" applyNumberFormat="1" applyFont="1" applyBorder="1"/>
    <xf fontId="12" fillId="0" borderId="0" numFmtId="10" xfId="3" applyNumberFormat="1" applyFont="1"/>
    <xf fontId="15" fillId="0" borderId="17" numFmtId="0" xfId="3" applyFont="1" applyBorder="1"/>
    <xf fontId="15" fillId="0" borderId="34" numFmtId="3" xfId="3" applyNumberFormat="1" applyFont="1" applyBorder="1"/>
    <xf fontId="15" fillId="0" borderId="34" numFmtId="10" xfId="4" applyNumberFormat="1" applyFont="1" applyBorder="1"/>
    <xf fontId="15" fillId="0" borderId="35" numFmtId="10" xfId="4" applyNumberFormat="1" applyFont="1" applyBorder="1"/>
    <xf fontId="15" fillId="0" borderId="0" numFmtId="0" xfId="3" applyFont="1"/>
    <xf fontId="15" fillId="0" borderId="27" numFmtId="4" xfId="3" applyNumberFormat="1" applyFont="1" applyBorder="1"/>
    <xf fontId="12" fillId="0" borderId="36" numFmtId="0" xfId="3" applyFont="1" applyBorder="1" applyAlignment="1">
      <alignment vertical="top" wrapText="1"/>
    </xf>
    <xf fontId="12" fillId="0" borderId="37" numFmtId="0" xfId="3" applyFont="1" applyBorder="1" applyAlignment="1">
      <alignment vertical="top" wrapText="1"/>
    </xf>
    <xf fontId="12" fillId="0" borderId="8" numFmtId="0" xfId="3" applyFont="1" applyBorder="1" applyAlignment="1">
      <alignment vertical="top" wrapText="1"/>
    </xf>
    <xf fontId="15" fillId="0" borderId="0" numFmtId="4" xfId="3" applyNumberFormat="1" applyFont="1"/>
    <xf fontId="17" fillId="0" borderId="0" numFmtId="0" xfId="3" applyFont="1" applyAlignment="1">
      <alignment horizontal="center"/>
    </xf>
    <xf fontId="12" fillId="0" borderId="36" numFmtId="0" xfId="3" applyFont="1" applyBorder="1" applyAlignment="1">
      <alignment horizontal="left" vertical="top" wrapText="1"/>
    </xf>
    <xf fontId="12" fillId="0" borderId="37" numFmtId="0" xfId="3" applyFont="1" applyBorder="1" applyAlignment="1">
      <alignment horizontal="left" vertical="top" wrapText="1"/>
    </xf>
    <xf fontId="12" fillId="0" borderId="8" numFmtId="0" xfId="3" applyFont="1" applyBorder="1" applyAlignment="1">
      <alignment horizontal="left" vertical="top" wrapText="1"/>
    </xf>
    <xf fontId="12" fillId="0" borderId="13" numFmtId="0" xfId="3" applyFont="1" applyBorder="1" applyAlignment="1">
      <alignment horizontal="left" vertical="top" wrapText="1"/>
    </xf>
    <xf fontId="12" fillId="0" borderId="14" numFmtId="0" xfId="3" applyFont="1" applyBorder="1" applyAlignment="1">
      <alignment horizontal="left" vertical="top" wrapText="1"/>
    </xf>
    <xf fontId="12" fillId="0" borderId="9" numFmtId="0" xfId="3" applyFont="1" applyBorder="1" applyAlignment="1">
      <alignment horizontal="left" vertical="top" wrapText="1"/>
    </xf>
    <xf fontId="12" fillId="0" borderId="15" numFmtId="0" xfId="3" applyFont="1" applyBorder="1" applyAlignment="1">
      <alignment horizontal="left" vertical="top" wrapText="1"/>
    </xf>
    <xf fontId="12" fillId="0" borderId="0" numFmtId="0" xfId="3" applyFont="1" applyAlignment="1">
      <alignment horizontal="left" vertical="top" wrapText="1"/>
    </xf>
    <xf fontId="12" fillId="0" borderId="16" numFmtId="0" xfId="3" applyFont="1" applyBorder="1" applyAlignment="1">
      <alignment horizontal="left" vertical="top" wrapText="1"/>
    </xf>
    <xf fontId="12" fillId="0" borderId="17" numFmtId="0" xfId="3" applyFont="1" applyBorder="1" applyAlignment="1">
      <alignment horizontal="left" vertical="top" wrapText="1"/>
    </xf>
    <xf fontId="12" fillId="0" borderId="18" numFmtId="0" xfId="3" applyFont="1" applyBorder="1" applyAlignment="1">
      <alignment horizontal="left" vertical="top" wrapText="1"/>
    </xf>
    <xf fontId="12" fillId="0" borderId="19" numFmtId="0" xfId="3" applyFont="1" applyBorder="1" applyAlignment="1">
      <alignment horizontal="left" vertical="top" wrapText="1"/>
    </xf>
    <xf fontId="5" fillId="0" borderId="2" numFmtId="0" xfId="0" applyFont="1" applyBorder="1" applyAlignment="1">
      <alignment vertical="center" wrapText="1"/>
    </xf>
    <xf fontId="5" fillId="0" borderId="2" numFmtId="0" xfId="0" applyFont="1" applyBorder="1"/>
    <xf fontId="0" fillId="0" borderId="2" numFmtId="0" xfId="0" applyBorder="1" applyAlignment="1">
      <alignment horizontal="justify" vertical="center" wrapText="1"/>
    </xf>
    <xf fontId="5" fillId="0" borderId="2" numFmtId="0" xfId="0" applyFont="1" applyBorder="1" applyAlignment="1">
      <alignment horizontal="center" vertical="center" wrapText="1"/>
    </xf>
    <xf fontId="1" fillId="2" borderId="2" numFmtId="0" xfId="2" applyFont="1" applyFill="1" applyBorder="1"/>
  </cellXfs>
  <cellStyles count="6">
    <cellStyle name="Comma" xfId="1" builtinId="3"/>
    <cellStyle name="Input" xfId="2" builtinId="20"/>
    <cellStyle name="Normal" xfId="0" builtinId="0"/>
    <cellStyle name="Normal 2" xfId="3"/>
    <cellStyle name="Per cent 2" xfId="4"/>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10" Type="http://schemas.openxmlformats.org/officeDocument/2006/relationships/styles" Target="styles.xml"/><Relationship  Id="rId2" Type="http://schemas.openxmlformats.org/officeDocument/2006/relationships/customXml" Target="../customXml/item1.xml"/><Relationship  Id="rId3" Type="http://schemas.openxmlformats.org/officeDocument/2006/relationships/customXml" Target="../customXml/item2.xml"/><Relationship  Id="rId4" Type="http://schemas.openxmlformats.org/officeDocument/2006/relationships/customXml" Target="../customXml/item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theme" Target="theme/theme1.xml"/><Relationship  Id="rId9" Type="http://schemas.openxmlformats.org/officeDocument/2006/relationships/sharedStrings" Target="sharedStrings.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_rels/chart2.xml.rels><?xml version="1.0" encoding="UTF-8" standalone="yes"?><Relationships xmlns="http://schemas.openxmlformats.org/package/2006/relationships"><Relationship Id="rId1" Type="http://schemas.microsoft.com/office/2011/relationships/chartStyle" Target="style2.xml" /><Relationship Id="rId2" Type="http://schemas.microsoft.com/office/2011/relationships/chartColorStyle" Target="colors2.xml" /></Relationships>
</file>

<file path=xl/charts/_rels/chart3.xml.rels><?xml version="1.0" encoding="UTF-8" standalone="yes"?><Relationships xmlns="http://schemas.openxmlformats.org/package/2006/relationships"><Relationship Id="rId1" Type="http://schemas.microsoft.com/office/2011/relationships/chartStyle" Target="style3.xml" /><Relationship Id="rId2" Type="http://schemas.microsoft.com/office/2011/relationships/chartColorStyle" Target="colors3.xml" /></Relationships>
</file>

<file path=xl/charts/_rels/chart4.xml.rels><?xml version="1.0" encoding="UTF-8" standalone="yes"?><Relationships xmlns="http://schemas.openxmlformats.org/package/2006/relationships"><Relationship Id="rId1" Type="http://schemas.microsoft.com/office/2011/relationships/chartStyle" Target="style4.xml" /><Relationship Id="rId2" Type="http://schemas.microsoft.com/office/2011/relationships/chartColorStyle" Target="colors4.xml" /></Relationships>
</file>

<file path=xl/charts/_rels/chart5.xml.rels><?xml version="1.0" encoding="UTF-8" standalone="yes"?><Relationships xmlns="http://schemas.openxmlformats.org/package/2006/relationships"><Relationship Id="rId1" Type="http://schemas.microsoft.com/office/2011/relationships/chartStyle" Target="style5.xml" /><Relationship Id="rId2" Type="http://schemas.microsoft.com/office/2011/relationships/chartColorStyle" Target="colors5.xml" /></Relationships>
</file>

<file path=xl/charts/_rels/chart6.xml.rels><?xml version="1.0" encoding="UTF-8" standalone="yes"?><Relationships xmlns="http://schemas.openxmlformats.org/package/2006/relationships"><Relationship Id="rId1" Type="http://schemas.microsoft.com/office/2011/relationships/chartStyle" Target="style6.xml" /><Relationship Id="rId2" Type="http://schemas.microsoft.com/office/2011/relationships/chartColorStyle" Target="colors6.xml" /></Relationships>
</file>

<file path=xl/charts/_rels/chart7.xml.rels><?xml version="1.0" encoding="UTF-8" standalone="yes"?><Relationships xmlns="http://schemas.openxmlformats.org/package/2006/relationships"><Relationship Id="rId1" Type="http://schemas.microsoft.com/office/2011/relationships/chartStyle" Target="style7.xml" /><Relationship Id="rId2" Type="http://schemas.microsoft.com/office/2011/relationships/chartColorStyle" Target="colors7.xml" /></Relationships>
</file>

<file path=xl/charts/_rels/chart8.xml.rels><?xml version="1.0" encoding="UTF-8" standalone="yes"?><Relationships xmlns="http://schemas.openxmlformats.org/package/2006/relationships"><Relationship Id="rId1" Type="http://schemas.microsoft.com/office/2011/relationships/chartStyle" Target="style8.xml" /><Relationship Id="rId2" Type="http://schemas.microsoft.com/office/2011/relationships/chartColorStyle" Target="colors8.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GB"/>
              <a:t>Activity</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'Tutorial Questions'!$I$14</c:f>
              <c:strCache>
                <c:ptCount val="1"/>
                <c:pt idx="0">
                  <c:v>Days inventory</c:v>
                </c:pt>
              </c:strCache>
            </c:strRef>
          </c:tx>
          <c:spPr bwMode="auto">
            <a:prstGeom prst="rect">
              <a:avLst/>
            </a:prstGeom>
            <a:ln w="28575" cap="rnd">
              <a:solidFill>
                <a:schemeClr val="accent1"/>
              </a:solidFill>
              <a:round/>
            </a:ln>
            <a:effectLst/>
          </c:spPr>
          <c:marker>
            <c:symbol val="none"/>
          </c:marker>
          <c:cat>
            <c:numRef>
              <c:f>'Tutorial Questions'!$J$2:$N$2</c:f>
              <c:numCache>
                <c:formatCode>General</c:formatCode>
                <c:ptCount val="5"/>
                <c:pt idx="0">
                  <c:v>2021</c:v>
                </c:pt>
                <c:pt idx="1">
                  <c:v>2022</c:v>
                </c:pt>
                <c:pt idx="2">
                  <c:v>2023</c:v>
                </c:pt>
                <c:pt idx="3">
                  <c:v>2024</c:v>
                </c:pt>
                <c:pt idx="4">
                  <c:v>2025</c:v>
                </c:pt>
              </c:numCache>
            </c:numRef>
          </c:cat>
          <c:val>
            <c:numRef>
              <c:f>'Tutorial Questions'!$J$14:$N$14</c:f>
              <c:numCache>
                <c:formatCode>0.00</c:formatCode>
                <c:ptCount val="5"/>
                <c:pt idx="0">
                  <c:v>49.3827552579674</c:v>
                </c:pt>
                <c:pt idx="1">
                  <c:v>57.942909587588076</c:v>
                </c:pt>
                <c:pt idx="2">
                  <c:v>51.038906186516854</c:v>
                </c:pt>
                <c:pt idx="3">
                  <c:v>53.564680622651636</c:v>
                </c:pt>
                <c:pt idx="4">
                  <c:v>57.83858488724007</c:v>
                </c:pt>
              </c:numCache>
            </c:numRef>
          </c:val>
          <c:smooth val="0"/>
        </c:ser>
        <c:ser>
          <c:idx val="1"/>
          <c:order val="1"/>
          <c:tx>
            <c:strRef>
              <c:f>'Tutorial Questions'!$I$15</c:f>
              <c:strCache>
                <c:ptCount val="1"/>
                <c:pt idx="0">
                  <c:v>Days receivable</c:v>
                </c:pt>
              </c:strCache>
            </c:strRef>
          </c:tx>
          <c:spPr bwMode="auto">
            <a:prstGeom prst="rect">
              <a:avLst/>
            </a:prstGeom>
            <a:ln w="28575" cap="rnd">
              <a:solidFill>
                <a:schemeClr val="accent2"/>
              </a:solidFill>
              <a:round/>
            </a:ln>
            <a:effectLst/>
          </c:spPr>
          <c:marker>
            <c:symbol val="none"/>
          </c:marker>
          <c:cat>
            <c:numRef>
              <c:f>'Tutorial Questions'!$J$2:$N$2</c:f>
              <c:numCache>
                <c:formatCode>General</c:formatCode>
                <c:ptCount val="5"/>
                <c:pt idx="0">
                  <c:v>2021</c:v>
                </c:pt>
                <c:pt idx="1">
                  <c:v>2022</c:v>
                </c:pt>
                <c:pt idx="2">
                  <c:v>2023</c:v>
                </c:pt>
                <c:pt idx="3">
                  <c:v>2024</c:v>
                </c:pt>
                <c:pt idx="4">
                  <c:v>2025</c:v>
                </c:pt>
              </c:numCache>
            </c:numRef>
          </c:cat>
          <c:val>
            <c:numRef>
              <c:f>'Tutorial Questions'!$J$15:$N$15</c:f>
              <c:numCache>
                <c:formatCode>0.00</c:formatCode>
                <c:ptCount val="5"/>
                <c:pt idx="0">
                  <c:v>4.208342396951792</c:v>
                </c:pt>
                <c:pt idx="1">
                  <c:v>5.242525996533795</c:v>
                </c:pt>
                <c:pt idx="2">
                  <c:v>5.554776222480107</c:v>
                </c:pt>
                <c:pt idx="3">
                  <c:v>5.140684291730953</c:v>
                </c:pt>
                <c:pt idx="4">
                  <c:v>6.4494353280024255</c:v>
                </c:pt>
              </c:numCache>
            </c:numRef>
          </c:val>
          <c:smooth val="0"/>
        </c:ser>
        <c:ser>
          <c:idx val="2"/>
          <c:order val="2"/>
          <c:tx>
            <c:strRef>
              <c:f>'Tutorial Questions'!$I$16</c:f>
              <c:strCache>
                <c:ptCount val="1"/>
                <c:pt idx="0">
                  <c:v>Days payable</c:v>
                </c:pt>
              </c:strCache>
            </c:strRef>
          </c:tx>
          <c:spPr bwMode="auto">
            <a:prstGeom prst="rect">
              <a:avLst/>
            </a:prstGeom>
            <a:ln w="28575" cap="rnd">
              <a:solidFill>
                <a:schemeClr val="accent3"/>
              </a:solidFill>
              <a:round/>
            </a:ln>
            <a:effectLst/>
          </c:spPr>
          <c:marker>
            <c:symbol val="none"/>
          </c:marker>
          <c:cat>
            <c:numRef>
              <c:f>'Tutorial Questions'!$J$2:$N$2</c:f>
              <c:numCache>
                <c:formatCode>General</c:formatCode>
                <c:ptCount val="5"/>
                <c:pt idx="0">
                  <c:v>2021</c:v>
                </c:pt>
                <c:pt idx="1">
                  <c:v>2022</c:v>
                </c:pt>
                <c:pt idx="2">
                  <c:v>2023</c:v>
                </c:pt>
                <c:pt idx="3">
                  <c:v>2024</c:v>
                </c:pt>
                <c:pt idx="4">
                  <c:v>2025</c:v>
                </c:pt>
              </c:numCache>
            </c:numRef>
          </c:cat>
          <c:val>
            <c:numRef>
              <c:f>'Tutorial Questions'!$J$16:$N$16</c:f>
              <c:numCache>
                <c:formatCode>0.00</c:formatCode>
                <c:ptCount val="5"/>
                <c:pt idx="0">
                  <c:v>35.16969598158645</c:v>
                </c:pt>
                <c:pt idx="1">
                  <c:v>36.82868118893524</c:v>
                </c:pt>
                <c:pt idx="2">
                  <c:v>32.38658541542543</c:v>
                </c:pt>
                <c:pt idx="3">
                  <c:v>35.30488459473966</c:v>
                </c:pt>
                <c:pt idx="4">
                  <c:v>39.46030215757103</c:v>
                </c:pt>
              </c:numCache>
            </c:numRef>
          </c:val>
          <c:smooth val="0"/>
        </c:ser>
        <c:dLbls>
          <c:showBubbleSize val="0"/>
          <c:showCatName val="0"/>
          <c:showLeaderLines val="0"/>
          <c:showLegendKey val="0"/>
          <c:showPercent val="0"/>
          <c:showSerName val="0"/>
          <c:showVal val="0"/>
        </c:dLbls>
        <c:smooth val="0"/>
        <c:axId val="1647410688"/>
        <c:axId val="1647412416"/>
      </c:lineChart>
      <c:catAx>
        <c:axId val="1647410688"/>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1647412416"/>
        <c:crosses val="autoZero"/>
        <c:auto val="1"/>
        <c:lblAlgn val="ctr"/>
        <c:lblOffset val="100"/>
        <c:noMultiLvlLbl val="0"/>
      </c:catAx>
      <c:valAx>
        <c:axId val="1647412416"/>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0.00"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1647410688"/>
        <c:crosses val="autoZero"/>
        <c:crossBetween val="between"/>
      </c:valAx>
      <c:spPr bwMode="auto">
        <a:prstGeom prst="rect">
          <a:avLst/>
        </a:prstGeom>
        <a:noFill/>
        <a:ln>
          <a:noFill/>
        </a:ln>
        <a:effectLst/>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GB"/>
              <a:t>Liquidity</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'Tutorial Questions'!$I$19</c:f>
              <c:strCache>
                <c:ptCount val="1"/>
                <c:pt idx="0">
                  <c:v>Current ratio</c:v>
                </c:pt>
              </c:strCache>
            </c:strRef>
          </c:tx>
          <c:spPr bwMode="auto">
            <a:prstGeom prst="rect">
              <a:avLst/>
            </a:prstGeom>
            <a:ln w="28575" cap="rnd">
              <a:solidFill>
                <a:schemeClr val="accent1"/>
              </a:solidFill>
              <a:round/>
            </a:ln>
            <a:effectLst/>
          </c:spPr>
          <c:marker>
            <c:symbol val="none"/>
          </c:marker>
          <c:cat>
            <c:numRef>
              <c:f>'Tutorial Questions'!$J$2:$N$2</c:f>
              <c:numCache>
                <c:formatCode>General</c:formatCode>
                <c:ptCount val="5"/>
                <c:pt idx="0">
                  <c:v>2021</c:v>
                </c:pt>
                <c:pt idx="1">
                  <c:v>2022</c:v>
                </c:pt>
                <c:pt idx="2">
                  <c:v>2023</c:v>
                </c:pt>
                <c:pt idx="3">
                  <c:v>2024</c:v>
                </c:pt>
                <c:pt idx="4">
                  <c:v>2025</c:v>
                </c:pt>
              </c:numCache>
            </c:numRef>
          </c:cat>
          <c:val>
            <c:numRef>
              <c:f>'Tutorial Questions'!$J$19:$N$19</c:f>
              <c:numCache>
                <c:formatCode>0.00</c:formatCode>
                <c:ptCount val="5"/>
                <c:pt idx="0">
                  <c:v>1.0754111563998932</c:v>
                </c:pt>
                <c:pt idx="1">
                  <c:v>1.0906377140850971</c:v>
                </c:pt>
                <c:pt idx="2">
                  <c:v>1.180943556345969</c:v>
                </c:pt>
                <c:pt idx="3">
                  <c:v>1.2101769911504425</c:v>
                </c:pt>
                <c:pt idx="4">
                  <c:v>1.1705996131528045</c:v>
                </c:pt>
              </c:numCache>
            </c:numRef>
          </c:val>
          <c:smooth val="0"/>
        </c:ser>
        <c:ser>
          <c:idx val="1"/>
          <c:order val="1"/>
          <c:tx>
            <c:strRef>
              <c:f>'Tutorial Questions'!$I$20</c:f>
              <c:strCache>
                <c:ptCount val="1"/>
                <c:pt idx="0">
                  <c:v>Quick ratio</c:v>
                </c:pt>
              </c:strCache>
            </c:strRef>
          </c:tx>
          <c:spPr bwMode="auto">
            <a:prstGeom prst="rect">
              <a:avLst/>
            </a:prstGeom>
            <a:ln w="28575" cap="rnd">
              <a:solidFill>
                <a:schemeClr val="accent2"/>
              </a:solidFill>
              <a:round/>
            </a:ln>
            <a:effectLst/>
          </c:spPr>
          <c:marker>
            <c:symbol val="none"/>
          </c:marker>
          <c:cat>
            <c:numRef>
              <c:f>'Tutorial Questions'!$J$2:$N$2</c:f>
              <c:numCache>
                <c:formatCode>General</c:formatCode>
                <c:ptCount val="5"/>
                <c:pt idx="0">
                  <c:v>2021</c:v>
                </c:pt>
                <c:pt idx="1">
                  <c:v>2022</c:v>
                </c:pt>
                <c:pt idx="2">
                  <c:v>2023</c:v>
                </c:pt>
                <c:pt idx="3">
                  <c:v>2024</c:v>
                </c:pt>
                <c:pt idx="4">
                  <c:v>2025</c:v>
                </c:pt>
              </c:numCache>
            </c:numRef>
          </c:cat>
          <c:val>
            <c:numRef>
              <c:f>'Tutorial Questions'!$J$20:$N$20</c:f>
              <c:numCache>
                <c:formatCode>0.00</c:formatCode>
                <c:ptCount val="5"/>
                <c:pt idx="0">
                  <c:v>0.29362215303789246</c:v>
                </c:pt>
                <c:pt idx="1">
                  <c:v>0.1976575042504344</c:v>
                </c:pt>
                <c:pt idx="2">
                  <c:v>0.27327200722454886</c:v>
                </c:pt>
                <c:pt idx="3">
                  <c:v>0.34543790051876716</c:v>
                </c:pt>
                <c:pt idx="4">
                  <c:v>0.30341715022566085</c:v>
                </c:pt>
              </c:numCache>
            </c:numRef>
          </c:val>
          <c:smooth val="0"/>
        </c:ser>
        <c:dLbls>
          <c:showBubbleSize val="0"/>
          <c:showCatName val="0"/>
          <c:showLeaderLines val="0"/>
          <c:showLegendKey val="0"/>
          <c:showPercent val="0"/>
          <c:showSerName val="0"/>
          <c:showVal val="0"/>
        </c:dLbls>
        <c:smooth val="0"/>
        <c:axId val="5946144"/>
        <c:axId val="636702656"/>
      </c:lineChart>
      <c:catAx>
        <c:axId val="5946144"/>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636702656"/>
        <c:crosses val="autoZero"/>
        <c:auto val="1"/>
        <c:lblAlgn val="ctr"/>
        <c:lblOffset val="100"/>
        <c:noMultiLvlLbl val="0"/>
      </c:catAx>
      <c:valAx>
        <c:axId val="636702656"/>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0.00"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5946144"/>
        <c:crosses val="autoZero"/>
        <c:crossBetween val="between"/>
      </c:valAx>
      <c:spPr bwMode="auto">
        <a:prstGeom prst="rect">
          <a:avLst/>
        </a:prstGeom>
        <a:noFill/>
        <a:ln>
          <a:noFill/>
        </a:ln>
        <a:effectLst/>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GB"/>
              <a:t>Solvency</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'Tutorial Questions'!$I$23</c:f>
              <c:strCache>
                <c:ptCount val="1"/>
                <c:pt idx="0">
                  <c:v>Debt to asset ratio</c:v>
                </c:pt>
              </c:strCache>
            </c:strRef>
          </c:tx>
          <c:spPr bwMode="auto">
            <a:prstGeom prst="rect">
              <a:avLst/>
            </a:prstGeom>
            <a:ln w="28575" cap="rnd">
              <a:solidFill>
                <a:schemeClr val="accent1"/>
              </a:solidFill>
              <a:round/>
            </a:ln>
            <a:effectLst/>
          </c:spPr>
          <c:marker>
            <c:symbol val="none"/>
          </c:marker>
          <c:cat>
            <c:numRef>
              <c:f>'Tutorial Questions'!$J$2:$N$2</c:f>
              <c:numCache>
                <c:formatCode>General</c:formatCode>
                <c:ptCount val="5"/>
                <c:pt idx="0">
                  <c:v>2021</c:v>
                </c:pt>
                <c:pt idx="1">
                  <c:v>2022</c:v>
                </c:pt>
                <c:pt idx="2">
                  <c:v>2023</c:v>
                </c:pt>
                <c:pt idx="3">
                  <c:v>2024</c:v>
                </c:pt>
                <c:pt idx="4">
                  <c:v>2025</c:v>
                </c:pt>
              </c:numCache>
            </c:numRef>
          </c:cat>
          <c:val>
            <c:numRef>
              <c:f>'Tutorial Questions'!$J$23:$N$23</c:f>
              <c:numCache>
                <c:formatCode>0.00%</c:formatCode>
                <c:ptCount val="5"/>
                <c:pt idx="0">
                  <c:v>0.5841728859285231</c:v>
                </c:pt>
                <c:pt idx="1">
                  <c:v>0.5950211793425101</c:v>
                </c:pt>
                <c:pt idx="2">
                  <c:v>0.561161087738826</c:v>
                </c:pt>
                <c:pt idx="3">
                  <c:v>0.5528308380657374</c:v>
                </c:pt>
                <c:pt idx="4">
                  <c:v>0.5823009761248618</c:v>
                </c:pt>
              </c:numCache>
            </c:numRef>
          </c:val>
          <c:smooth val="0"/>
        </c:ser>
        <c:ser>
          <c:idx val="1"/>
          <c:order val="1"/>
          <c:tx>
            <c:strRef>
              <c:f>'Tutorial Questions'!$I$24</c:f>
              <c:strCache>
                <c:ptCount val="1"/>
                <c:pt idx="0">
                  <c:v>Debt to equity ratio</c:v>
                </c:pt>
              </c:strCache>
            </c:strRef>
          </c:tx>
          <c:spPr bwMode="auto">
            <a:prstGeom prst="rect">
              <a:avLst/>
            </a:prstGeom>
            <a:ln w="28575" cap="rnd">
              <a:solidFill>
                <a:schemeClr val="accent2"/>
              </a:solidFill>
              <a:round/>
            </a:ln>
            <a:effectLst/>
          </c:spPr>
          <c:marker>
            <c:symbol val="none"/>
          </c:marker>
          <c:cat>
            <c:numRef>
              <c:f>'Tutorial Questions'!$J$2:$N$2</c:f>
              <c:numCache>
                <c:formatCode>General</c:formatCode>
                <c:ptCount val="5"/>
                <c:pt idx="0">
                  <c:v>2021</c:v>
                </c:pt>
                <c:pt idx="1">
                  <c:v>2022</c:v>
                </c:pt>
                <c:pt idx="2">
                  <c:v>2023</c:v>
                </c:pt>
                <c:pt idx="3">
                  <c:v>2024</c:v>
                </c:pt>
                <c:pt idx="4">
                  <c:v>2025</c:v>
                </c:pt>
              </c:numCache>
            </c:numRef>
          </c:cat>
          <c:val>
            <c:numRef>
              <c:f>'Tutorial Questions'!$J$24:$N$24</c:f>
              <c:numCache>
                <c:formatCode>0.00%</c:formatCode>
                <c:ptCount val="5"/>
                <c:pt idx="0">
                  <c:v>1.4048456293960243</c:v>
                </c:pt>
                <c:pt idx="1">
                  <c:v>1.4692650179405333</c:v>
                </c:pt>
                <c:pt idx="2">
                  <c:v>1.2787404928537012</c:v>
                </c:pt>
                <c:pt idx="3">
                  <c:v>1.2362901674042717</c:v>
                </c:pt>
                <c:pt idx="4">
                  <c:v>1.3940683191515604</c:v>
                </c:pt>
              </c:numCache>
            </c:numRef>
          </c:val>
          <c:smooth val="0"/>
        </c:ser>
        <c:ser>
          <c:idx val="2"/>
          <c:order val="2"/>
          <c:tx>
            <c:strRef>
              <c:f>'Tutorial Questions'!$I$25</c:f>
              <c:strCache>
                <c:ptCount val="1"/>
                <c:pt idx="0">
                  <c:v>Leverage ratio</c:v>
                </c:pt>
              </c:strCache>
            </c:strRef>
          </c:tx>
          <c:spPr bwMode="auto">
            <a:prstGeom prst="rect">
              <a:avLst/>
            </a:prstGeom>
            <a:ln w="28575" cap="rnd">
              <a:solidFill>
                <a:schemeClr val="accent3"/>
              </a:solidFill>
              <a:round/>
            </a:ln>
            <a:effectLst/>
          </c:spPr>
          <c:marker>
            <c:symbol val="none"/>
          </c:marker>
          <c:cat>
            <c:numRef>
              <c:f>'Tutorial Questions'!$J$2:$N$2</c:f>
              <c:numCache>
                <c:formatCode>General</c:formatCode>
                <c:ptCount val="5"/>
                <c:pt idx="0">
                  <c:v>2021</c:v>
                </c:pt>
                <c:pt idx="1">
                  <c:v>2022</c:v>
                </c:pt>
                <c:pt idx="2">
                  <c:v>2023</c:v>
                </c:pt>
                <c:pt idx="3">
                  <c:v>2024</c:v>
                </c:pt>
                <c:pt idx="4">
                  <c:v>2025</c:v>
                </c:pt>
              </c:numCache>
            </c:numRef>
          </c:cat>
          <c:val>
            <c:numRef>
              <c:f>'Tutorial Questions'!$J$25:$N$25</c:f>
              <c:numCache>
                <c:formatCode>0.00%</c:formatCode>
                <c:ptCount val="5"/>
                <c:pt idx="0">
                  <c:v>2.4048456599677155</c:v>
                </c:pt>
                <c:pt idx="1">
                  <c:v>2.469265076520554</c:v>
                </c:pt>
                <c:pt idx="2">
                  <c:v>2.278740491444854</c:v>
                </c:pt>
                <c:pt idx="3">
                  <c:v>2.2362901674042717</c:v>
                </c:pt>
                <c:pt idx="4">
                  <c:v>2.39406831915156</c:v>
                </c:pt>
              </c:numCache>
            </c:numRef>
          </c:val>
          <c:smooth val="0"/>
        </c:ser>
        <c:dLbls>
          <c:showBubbleSize val="0"/>
          <c:showCatName val="0"/>
          <c:showLeaderLines val="0"/>
          <c:showLegendKey val="0"/>
          <c:showPercent val="0"/>
          <c:showSerName val="0"/>
          <c:showVal val="0"/>
        </c:dLbls>
        <c:smooth val="0"/>
        <c:axId val="1666239600"/>
        <c:axId val="1666263664"/>
      </c:lineChart>
      <c:catAx>
        <c:axId val="1666239600"/>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1666263664"/>
        <c:crosses val="autoZero"/>
        <c:auto val="1"/>
        <c:lblAlgn val="ctr"/>
        <c:lblOffset val="100"/>
        <c:noMultiLvlLbl val="0"/>
      </c:catAx>
      <c:valAx>
        <c:axId val="1666263664"/>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0.00%"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1666239600"/>
        <c:crosses val="autoZero"/>
        <c:crossBetween val="between"/>
      </c:valAx>
      <c:spPr bwMode="auto">
        <a:prstGeom prst="rect">
          <a:avLst/>
        </a:prstGeom>
        <a:noFill/>
        <a:ln>
          <a:noFill/>
        </a:ln>
        <a:effectLst/>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GB"/>
              <a:t>Profitability</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'Tutorial Questions'!$I$4</c:f>
              <c:strCache>
                <c:ptCount val="1"/>
                <c:pt idx="0">
                  <c:v>Return on assets</c:v>
                </c:pt>
              </c:strCache>
            </c:strRef>
          </c:tx>
          <c:spPr bwMode="auto">
            <a:prstGeom prst="rect">
              <a:avLst/>
            </a:prstGeom>
            <a:ln w="28575" cap="rnd">
              <a:solidFill>
                <a:schemeClr val="accent1"/>
              </a:solidFill>
              <a:round/>
            </a:ln>
            <a:effectLst/>
          </c:spPr>
          <c:marker>
            <c:symbol val="none"/>
          </c:marker>
          <c:cat>
            <c:numRef>
              <c:f>'Tutorial Questions'!$J$2:$N$2</c:f>
              <c:numCache>
                <c:formatCode>General</c:formatCode>
                <c:ptCount val="5"/>
                <c:pt idx="0">
                  <c:v>2021</c:v>
                </c:pt>
                <c:pt idx="1">
                  <c:v>2022</c:v>
                </c:pt>
                <c:pt idx="2">
                  <c:v>2023</c:v>
                </c:pt>
                <c:pt idx="3">
                  <c:v>2024</c:v>
                </c:pt>
                <c:pt idx="4">
                  <c:v>2025</c:v>
                </c:pt>
              </c:numCache>
            </c:numRef>
          </c:cat>
          <c:val>
            <c:numRef>
              <c:f>'Tutorial Questions'!$J$4:$N$4</c:f>
              <c:numCache>
                <c:formatCode>0.00%</c:formatCode>
                <c:ptCount val="5"/>
                <c:pt idx="0">
                  <c:v>0.16084529357403546</c:v>
                </c:pt>
                <c:pt idx="1">
                  <c:v>0.17236032551179092</c:v>
                </c:pt>
                <c:pt idx="2">
                  <c:v>0.1621690040796</c:v>
                </c:pt>
                <c:pt idx="3">
                  <c:v>0.12585326679286404</c:v>
                </c:pt>
                <c:pt idx="4">
                  <c:v>0.11919540525922674</c:v>
                </c:pt>
              </c:numCache>
            </c:numRef>
          </c:val>
          <c:smooth val="0"/>
        </c:ser>
        <c:ser>
          <c:idx val="1"/>
          <c:order val="1"/>
          <c:tx>
            <c:strRef>
              <c:f>'Tutorial Questions'!$I$5</c:f>
              <c:strCache>
                <c:ptCount val="1"/>
                <c:pt idx="0">
                  <c:v>Return on equity</c:v>
                </c:pt>
              </c:strCache>
            </c:strRef>
          </c:tx>
          <c:spPr bwMode="auto">
            <a:prstGeom prst="rect">
              <a:avLst/>
            </a:prstGeom>
            <a:ln w="28575" cap="rnd">
              <a:solidFill>
                <a:schemeClr val="accent2"/>
              </a:solidFill>
              <a:round/>
            </a:ln>
            <a:effectLst/>
          </c:spPr>
          <c:marker>
            <c:symbol val="none"/>
          </c:marker>
          <c:cat>
            <c:numRef>
              <c:f>'Tutorial Questions'!$J$2:$N$2</c:f>
              <c:numCache>
                <c:formatCode>General</c:formatCode>
                <c:ptCount val="5"/>
                <c:pt idx="0">
                  <c:v>2021</c:v>
                </c:pt>
                <c:pt idx="1">
                  <c:v>2022</c:v>
                </c:pt>
                <c:pt idx="2">
                  <c:v>2023</c:v>
                </c:pt>
                <c:pt idx="3">
                  <c:v>2024</c:v>
                </c:pt>
                <c:pt idx="4">
                  <c:v>2025</c:v>
                </c:pt>
              </c:numCache>
            </c:numRef>
          </c:cat>
          <c:val>
            <c:numRef>
              <c:f>'Tutorial Questions'!$J$5:$N$5</c:f>
              <c:numCache>
                <c:formatCode>0.00%</c:formatCode>
                <c:ptCount val="5"/>
                <c:pt idx="0">
                  <c:v>0.38680810617775224</c:v>
                </c:pt>
                <c:pt idx="1">
                  <c:v>0.42560333236398</c:v>
                </c:pt>
                <c:pt idx="2">
                  <c:v>0.3695410760534702</c:v>
                </c:pt>
                <c:pt idx="3">
                  <c:v>0.2814444230645884</c:v>
                </c:pt>
                <c:pt idx="4">
                  <c:v>0.28536194351954597</c:v>
                </c:pt>
              </c:numCache>
            </c:numRef>
          </c:val>
          <c:smooth val="0"/>
        </c:ser>
        <c:ser>
          <c:idx val="2"/>
          <c:order val="2"/>
          <c:tx>
            <c:strRef>
              <c:f>'Tutorial Questions'!$I$6</c:f>
              <c:strCache>
                <c:ptCount val="1"/>
                <c:pt idx="0">
                  <c:v>Net profit margin</c:v>
                </c:pt>
              </c:strCache>
            </c:strRef>
          </c:tx>
          <c:spPr bwMode="auto">
            <a:prstGeom prst="rect">
              <a:avLst/>
            </a:prstGeom>
            <a:ln w="28575" cap="rnd">
              <a:solidFill>
                <a:schemeClr val="accent3"/>
              </a:solidFill>
              <a:round/>
            </a:ln>
            <a:effectLst/>
          </c:spPr>
          <c:marker>
            <c:symbol val="none"/>
          </c:marker>
          <c:cat>
            <c:numRef>
              <c:f>'Tutorial Questions'!$J$2:$N$2</c:f>
              <c:numCache>
                <c:formatCode>General</c:formatCode>
                <c:ptCount val="5"/>
                <c:pt idx="0">
                  <c:v>2021</c:v>
                </c:pt>
                <c:pt idx="1">
                  <c:v>2022</c:v>
                </c:pt>
                <c:pt idx="2">
                  <c:v>2023</c:v>
                </c:pt>
                <c:pt idx="3">
                  <c:v>2024</c:v>
                </c:pt>
                <c:pt idx="4">
                  <c:v>2025</c:v>
                </c:pt>
              </c:numCache>
            </c:numRef>
          </c:cat>
          <c:val>
            <c:numRef>
              <c:f>'Tutorial Questions'!$J$6:$N$6</c:f>
              <c:numCache>
                <c:formatCode>0.00%</c:formatCode>
                <c:ptCount val="5"/>
                <c:pt idx="0">
                  <c:v>0.05676245670126192</c:v>
                </c:pt>
                <c:pt idx="1">
                  <c:v>0.05902295775563262</c:v>
                </c:pt>
                <c:pt idx="2">
                  <c:v>0.05449602080653776</c:v>
                </c:pt>
                <c:pt idx="3">
                  <c:v>0.04574454776698217</c:v>
                </c:pt>
                <c:pt idx="4">
                  <c:v>0.04384734907340733</c:v>
                </c:pt>
              </c:numCache>
            </c:numRef>
          </c:val>
          <c:smooth val="0"/>
        </c:ser>
        <c:dLbls>
          <c:showBubbleSize val="0"/>
          <c:showCatName val="0"/>
          <c:showLeaderLines val="0"/>
          <c:showLegendKey val="0"/>
          <c:showPercent val="0"/>
          <c:showSerName val="0"/>
          <c:showVal val="0"/>
        </c:dLbls>
        <c:smooth val="0"/>
        <c:axId val="1666927984"/>
        <c:axId val="1666929712"/>
      </c:lineChart>
      <c:catAx>
        <c:axId val="1666927984"/>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1666929712"/>
        <c:crosses val="autoZero"/>
        <c:auto val="1"/>
        <c:lblAlgn val="ctr"/>
        <c:lblOffset val="100"/>
        <c:noMultiLvlLbl val="0"/>
      </c:catAx>
      <c:valAx>
        <c:axId val="1666929712"/>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0.00%"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1666927984"/>
        <c:crosses val="autoZero"/>
        <c:crossBetween val="between"/>
      </c:valAx>
      <c:spPr bwMode="auto">
        <a:prstGeom prst="rect">
          <a:avLst/>
        </a:prstGeom>
        <a:noFill/>
        <a:ln>
          <a:noFill/>
        </a:ln>
        <a:effectLst/>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GB"/>
              <a:t>Activity</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'[1]Tutorial Questions'!$H$14</c:f>
              <c:strCache>
                <c:ptCount val="1"/>
                <c:pt idx="0">
                  <c:v>Days inventory</c:v>
                </c:pt>
              </c:strCache>
            </c:strRef>
          </c:tx>
          <c:spPr bwMode="auto">
            <a:prstGeom prst="rect">
              <a:avLst/>
            </a:prstGeom>
            <a:ln w="28575" cap="rnd">
              <a:solidFill>
                <a:schemeClr val="accent1"/>
              </a:solidFill>
              <a:round/>
            </a:ln>
            <a:effectLst/>
          </c:spPr>
          <c:marker>
            <c:symbol val="none"/>
          </c:marker>
          <c:cat>
            <c:strRef>
              <c:f>'[1]Tutorial Questions'!$I$2:$M$2</c:f>
              <c:strCache>
                <c:ptCount val="5"/>
                <c:pt idx="0">
                  <c:v>2021</c:v>
                </c:pt>
                <c:pt idx="1">
                  <c:v>2022</c:v>
                </c:pt>
                <c:pt idx="2">
                  <c:v>2023</c:v>
                </c:pt>
                <c:pt idx="3">
                  <c:v>2024</c:v>
                </c:pt>
                <c:pt idx="4">
                  <c:v>2025</c:v>
                </c:pt>
              </c:strCache>
            </c:strRef>
          </c:cat>
          <c:val>
            <c:numRef>
              <c:f>'[1]Tutorial Questions'!$I$14:$M$14</c:f>
              <c:numCache>
                <c:formatCode>General</c:formatCode>
                <c:ptCount val="5"/>
                <c:pt idx="0" formatCode="0.00">
                  <c:v>49.3827552579674</c:v>
                </c:pt>
              </c:numCache>
            </c:numRef>
          </c:val>
          <c:smooth val="0"/>
        </c:ser>
        <c:ser>
          <c:idx val="1"/>
          <c:order val="1"/>
          <c:tx>
            <c:strRef>
              <c:f>'[1]Tutorial Questions'!$H$15</c:f>
              <c:strCache>
                <c:ptCount val="1"/>
                <c:pt idx="0">
                  <c:v>Days receivable</c:v>
                </c:pt>
              </c:strCache>
            </c:strRef>
          </c:tx>
          <c:spPr bwMode="auto">
            <a:prstGeom prst="rect">
              <a:avLst/>
            </a:prstGeom>
            <a:ln w="28575" cap="rnd">
              <a:solidFill>
                <a:schemeClr val="accent2"/>
              </a:solidFill>
              <a:round/>
            </a:ln>
            <a:effectLst/>
          </c:spPr>
          <c:marker>
            <c:symbol val="none"/>
          </c:marker>
          <c:cat>
            <c:strRef>
              <c:f>'[1]Tutorial Questions'!$I$2:$M$2</c:f>
              <c:strCache>
                <c:ptCount val="5"/>
                <c:pt idx="0">
                  <c:v>2021</c:v>
                </c:pt>
                <c:pt idx="1">
                  <c:v>2022</c:v>
                </c:pt>
                <c:pt idx="2">
                  <c:v>2023</c:v>
                </c:pt>
                <c:pt idx="3">
                  <c:v>2024</c:v>
                </c:pt>
                <c:pt idx="4">
                  <c:v>2025</c:v>
                </c:pt>
              </c:strCache>
            </c:strRef>
          </c:cat>
          <c:val>
            <c:numRef>
              <c:f>'[1]Tutorial Questions'!$I$15:$M$15</c:f>
              <c:numCache>
                <c:formatCode>General</c:formatCode>
                <c:ptCount val="5"/>
                <c:pt idx="0" formatCode="0.00">
                  <c:v>4.208342396951792</c:v>
                </c:pt>
              </c:numCache>
            </c:numRef>
          </c:val>
          <c:smooth val="0"/>
        </c:ser>
        <c:ser>
          <c:idx val="2"/>
          <c:order val="2"/>
          <c:tx>
            <c:strRef>
              <c:f>'[1]Tutorial Questions'!$H$16</c:f>
              <c:strCache>
                <c:ptCount val="1"/>
                <c:pt idx="0">
                  <c:v>Days payable</c:v>
                </c:pt>
              </c:strCache>
            </c:strRef>
          </c:tx>
          <c:spPr bwMode="auto">
            <a:prstGeom prst="rect">
              <a:avLst/>
            </a:prstGeom>
            <a:ln w="28575" cap="rnd">
              <a:solidFill>
                <a:schemeClr val="accent3"/>
              </a:solidFill>
              <a:round/>
            </a:ln>
            <a:effectLst/>
          </c:spPr>
          <c:marker>
            <c:symbol val="none"/>
          </c:marker>
          <c:cat>
            <c:strRef>
              <c:f>'[1]Tutorial Questions'!$I$2:$M$2</c:f>
              <c:strCache>
                <c:ptCount val="5"/>
                <c:pt idx="0">
                  <c:v>2021</c:v>
                </c:pt>
                <c:pt idx="1">
                  <c:v>2022</c:v>
                </c:pt>
                <c:pt idx="2">
                  <c:v>2023</c:v>
                </c:pt>
                <c:pt idx="3">
                  <c:v>2024</c:v>
                </c:pt>
                <c:pt idx="4">
                  <c:v>2025</c:v>
                </c:pt>
              </c:strCache>
            </c:strRef>
          </c:cat>
          <c:val>
            <c:numRef>
              <c:f>'[1]Tutorial Questions'!$I$16:$M$16</c:f>
              <c:numCache>
                <c:formatCode>General</c:formatCode>
                <c:ptCount val="5"/>
                <c:pt idx="0" formatCode="0.00">
                  <c:v>35.16969598158645</c:v>
                </c:pt>
              </c:numCache>
            </c:numRef>
          </c:val>
          <c:smooth val="0"/>
        </c:ser>
        <c:dLbls>
          <c:showBubbleSize val="0"/>
          <c:showCatName val="0"/>
          <c:showLeaderLines val="0"/>
          <c:showLegendKey val="0"/>
          <c:showPercent val="0"/>
          <c:showSerName val="0"/>
          <c:showVal val="0"/>
        </c:dLbls>
        <c:smooth val="0"/>
        <c:axId val="1647410688"/>
        <c:axId val="1647412416"/>
      </c:lineChart>
      <c:catAx>
        <c:axId val="1647410688"/>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1647412416"/>
        <c:crosses val="autoZero"/>
        <c:auto val="1"/>
        <c:lblAlgn val="ctr"/>
        <c:lblOffset val="100"/>
        <c:noMultiLvlLbl val="0"/>
      </c:catAx>
      <c:valAx>
        <c:axId val="1647412416"/>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0.00"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1647410688"/>
        <c:crosses val="autoZero"/>
        <c:crossBetween val="between"/>
      </c:valAx>
      <c:spPr bwMode="auto">
        <a:prstGeom prst="rect">
          <a:avLst/>
        </a:prstGeom>
        <a:noFill/>
        <a:ln>
          <a:noFill/>
        </a:ln>
        <a:effectLst/>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GB"/>
              <a:t>Liquidity</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'[1]Tutorial Questions'!$H$19</c:f>
              <c:strCache>
                <c:ptCount val="1"/>
                <c:pt idx="0">
                  <c:v>Current ratio</c:v>
                </c:pt>
              </c:strCache>
            </c:strRef>
          </c:tx>
          <c:spPr bwMode="auto">
            <a:prstGeom prst="rect">
              <a:avLst/>
            </a:prstGeom>
            <a:ln w="28575" cap="rnd">
              <a:solidFill>
                <a:schemeClr val="accent1"/>
              </a:solidFill>
              <a:round/>
            </a:ln>
            <a:effectLst/>
          </c:spPr>
          <c:marker>
            <c:symbol val="none"/>
          </c:marker>
          <c:cat>
            <c:strRef>
              <c:f>'[1]Tutorial Questions'!$I$2:$M$2</c:f>
              <c:strCache>
                <c:ptCount val="5"/>
                <c:pt idx="0">
                  <c:v>2021</c:v>
                </c:pt>
                <c:pt idx="1">
                  <c:v>2022</c:v>
                </c:pt>
                <c:pt idx="2">
                  <c:v>2023</c:v>
                </c:pt>
                <c:pt idx="3">
                  <c:v>2024</c:v>
                </c:pt>
                <c:pt idx="4">
                  <c:v>2025</c:v>
                </c:pt>
              </c:strCache>
            </c:strRef>
          </c:cat>
          <c:val>
            <c:numRef>
              <c:f>'[1]Tutorial Questions'!$I$19:$M$19</c:f>
              <c:numCache>
                <c:formatCode>General</c:formatCode>
                <c:ptCount val="5"/>
                <c:pt idx="0" formatCode="0.00">
                  <c:v>1.0754111563998932</c:v>
                </c:pt>
              </c:numCache>
            </c:numRef>
          </c:val>
          <c:smooth val="0"/>
        </c:ser>
        <c:ser>
          <c:idx val="1"/>
          <c:order val="1"/>
          <c:tx>
            <c:strRef>
              <c:f>'[1]Tutorial Questions'!$H$20</c:f>
              <c:strCache>
                <c:ptCount val="1"/>
                <c:pt idx="0">
                  <c:v>Quick ratio</c:v>
                </c:pt>
              </c:strCache>
            </c:strRef>
          </c:tx>
          <c:spPr bwMode="auto">
            <a:prstGeom prst="rect">
              <a:avLst/>
            </a:prstGeom>
            <a:ln w="28575" cap="rnd">
              <a:solidFill>
                <a:schemeClr val="accent2"/>
              </a:solidFill>
              <a:round/>
            </a:ln>
            <a:effectLst/>
          </c:spPr>
          <c:marker>
            <c:symbol val="none"/>
          </c:marker>
          <c:cat>
            <c:strRef>
              <c:f>'[1]Tutorial Questions'!$I$2:$M$2</c:f>
              <c:strCache>
                <c:ptCount val="5"/>
                <c:pt idx="0">
                  <c:v>2021</c:v>
                </c:pt>
                <c:pt idx="1">
                  <c:v>2022</c:v>
                </c:pt>
                <c:pt idx="2">
                  <c:v>2023</c:v>
                </c:pt>
                <c:pt idx="3">
                  <c:v>2024</c:v>
                </c:pt>
                <c:pt idx="4">
                  <c:v>2025</c:v>
                </c:pt>
              </c:strCache>
            </c:strRef>
          </c:cat>
          <c:val>
            <c:numRef>
              <c:f>'[1]Tutorial Questions'!$I$20:$M$20</c:f>
              <c:numCache>
                <c:formatCode>General</c:formatCode>
                <c:ptCount val="5"/>
                <c:pt idx="0" formatCode="0.00">
                  <c:v>0.29362215303789246</c:v>
                </c:pt>
              </c:numCache>
            </c:numRef>
          </c:val>
          <c:smooth val="0"/>
        </c:ser>
        <c:dLbls>
          <c:showBubbleSize val="0"/>
          <c:showCatName val="0"/>
          <c:showLeaderLines val="0"/>
          <c:showLegendKey val="0"/>
          <c:showPercent val="0"/>
          <c:showSerName val="0"/>
          <c:showVal val="0"/>
        </c:dLbls>
        <c:smooth val="0"/>
        <c:axId val="5946144"/>
        <c:axId val="636702656"/>
      </c:lineChart>
      <c:catAx>
        <c:axId val="5946144"/>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636702656"/>
        <c:crosses val="autoZero"/>
        <c:auto val="1"/>
        <c:lblAlgn val="ctr"/>
        <c:lblOffset val="100"/>
        <c:noMultiLvlLbl val="0"/>
      </c:catAx>
      <c:valAx>
        <c:axId val="636702656"/>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0.00"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5946144"/>
        <c:crosses val="autoZero"/>
        <c:crossBetween val="between"/>
      </c:valAx>
      <c:spPr bwMode="auto">
        <a:prstGeom prst="rect">
          <a:avLst/>
        </a:prstGeom>
        <a:noFill/>
        <a:ln>
          <a:noFill/>
        </a:ln>
        <a:effectLst/>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GB"/>
              <a:t>Solvency</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'[1]Tutorial Questions'!$H$23</c:f>
              <c:strCache>
                <c:ptCount val="1"/>
                <c:pt idx="0">
                  <c:v>Debt to asset ratio</c:v>
                </c:pt>
              </c:strCache>
            </c:strRef>
          </c:tx>
          <c:spPr bwMode="auto">
            <a:prstGeom prst="rect">
              <a:avLst/>
            </a:prstGeom>
            <a:ln w="28575" cap="rnd">
              <a:solidFill>
                <a:schemeClr val="accent1"/>
              </a:solidFill>
              <a:round/>
            </a:ln>
            <a:effectLst/>
          </c:spPr>
          <c:marker>
            <c:symbol val="none"/>
          </c:marker>
          <c:cat>
            <c:strRef>
              <c:f>'[1]Tutorial Questions'!$I$2:$M$2</c:f>
              <c:strCache>
                <c:ptCount val="5"/>
                <c:pt idx="0">
                  <c:v>2021</c:v>
                </c:pt>
                <c:pt idx="1">
                  <c:v>2022</c:v>
                </c:pt>
                <c:pt idx="2">
                  <c:v>2023</c:v>
                </c:pt>
                <c:pt idx="3">
                  <c:v>2024</c:v>
                </c:pt>
                <c:pt idx="4">
                  <c:v>2025</c:v>
                </c:pt>
              </c:strCache>
            </c:strRef>
          </c:cat>
          <c:val>
            <c:numRef>
              <c:f>'[1]Tutorial Questions'!$I$23:$M$23</c:f>
              <c:numCache>
                <c:formatCode>General</c:formatCode>
                <c:ptCount val="5"/>
                <c:pt idx="0" formatCode="0.00%">
                  <c:v>0.5841728859285231</c:v>
                </c:pt>
              </c:numCache>
            </c:numRef>
          </c:val>
          <c:smooth val="0"/>
        </c:ser>
        <c:ser>
          <c:idx val="1"/>
          <c:order val="1"/>
          <c:tx>
            <c:strRef>
              <c:f>'[1]Tutorial Questions'!$H$24</c:f>
              <c:strCache>
                <c:ptCount val="1"/>
                <c:pt idx="0">
                  <c:v>Debt to equity ratio</c:v>
                </c:pt>
              </c:strCache>
            </c:strRef>
          </c:tx>
          <c:spPr bwMode="auto">
            <a:prstGeom prst="rect">
              <a:avLst/>
            </a:prstGeom>
            <a:ln w="28575" cap="rnd">
              <a:solidFill>
                <a:schemeClr val="accent2"/>
              </a:solidFill>
              <a:round/>
            </a:ln>
            <a:effectLst/>
          </c:spPr>
          <c:marker>
            <c:symbol val="none"/>
          </c:marker>
          <c:cat>
            <c:strRef>
              <c:f>'[1]Tutorial Questions'!$I$2:$M$2</c:f>
              <c:strCache>
                <c:ptCount val="5"/>
                <c:pt idx="0">
                  <c:v>2021</c:v>
                </c:pt>
                <c:pt idx="1">
                  <c:v>2022</c:v>
                </c:pt>
                <c:pt idx="2">
                  <c:v>2023</c:v>
                </c:pt>
                <c:pt idx="3">
                  <c:v>2024</c:v>
                </c:pt>
                <c:pt idx="4">
                  <c:v>2025</c:v>
                </c:pt>
              </c:strCache>
            </c:strRef>
          </c:cat>
          <c:val>
            <c:numRef>
              <c:f>'[1]Tutorial Questions'!$I$24:$M$24</c:f>
              <c:numCache>
                <c:formatCode>General</c:formatCode>
                <c:ptCount val="5"/>
                <c:pt idx="0" formatCode="0.00%">
                  <c:v>1.4048456293960243</c:v>
                </c:pt>
              </c:numCache>
            </c:numRef>
          </c:val>
          <c:smooth val="0"/>
        </c:ser>
        <c:ser>
          <c:idx val="2"/>
          <c:order val="2"/>
          <c:tx>
            <c:strRef>
              <c:f>'[1]Tutorial Questions'!$H$25</c:f>
              <c:strCache>
                <c:ptCount val="1"/>
                <c:pt idx="0">
                  <c:v>Leverage ratio</c:v>
                </c:pt>
              </c:strCache>
            </c:strRef>
          </c:tx>
          <c:spPr bwMode="auto">
            <a:prstGeom prst="rect">
              <a:avLst/>
            </a:prstGeom>
            <a:ln w="28575" cap="rnd">
              <a:solidFill>
                <a:schemeClr val="accent3"/>
              </a:solidFill>
              <a:round/>
            </a:ln>
            <a:effectLst/>
          </c:spPr>
          <c:marker>
            <c:symbol val="none"/>
          </c:marker>
          <c:cat>
            <c:strRef>
              <c:f>'[1]Tutorial Questions'!$I$2:$M$2</c:f>
              <c:strCache>
                <c:ptCount val="5"/>
                <c:pt idx="0">
                  <c:v>2021</c:v>
                </c:pt>
                <c:pt idx="1">
                  <c:v>2022</c:v>
                </c:pt>
                <c:pt idx="2">
                  <c:v>2023</c:v>
                </c:pt>
                <c:pt idx="3">
                  <c:v>2024</c:v>
                </c:pt>
                <c:pt idx="4">
                  <c:v>2025</c:v>
                </c:pt>
              </c:strCache>
            </c:strRef>
          </c:cat>
          <c:val>
            <c:numRef>
              <c:f>'[1]Tutorial Questions'!$I$25:$M$25</c:f>
              <c:numCache>
                <c:formatCode>General</c:formatCode>
                <c:ptCount val="5"/>
                <c:pt idx="0" formatCode="0.00%">
                  <c:v>2.4048456599677155</c:v>
                </c:pt>
              </c:numCache>
            </c:numRef>
          </c:val>
          <c:smooth val="0"/>
        </c:ser>
        <c:dLbls>
          <c:showBubbleSize val="0"/>
          <c:showCatName val="0"/>
          <c:showLeaderLines val="0"/>
          <c:showLegendKey val="0"/>
          <c:showPercent val="0"/>
          <c:showSerName val="0"/>
          <c:showVal val="0"/>
        </c:dLbls>
        <c:smooth val="0"/>
        <c:axId val="1666239600"/>
        <c:axId val="1666263664"/>
      </c:lineChart>
      <c:catAx>
        <c:axId val="1666239600"/>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1666263664"/>
        <c:crosses val="autoZero"/>
        <c:auto val="1"/>
        <c:lblAlgn val="ctr"/>
        <c:lblOffset val="100"/>
        <c:noMultiLvlLbl val="0"/>
      </c:catAx>
      <c:valAx>
        <c:axId val="1666263664"/>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0.00%"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1666239600"/>
        <c:crosses val="autoZero"/>
        <c:crossBetween val="between"/>
      </c:valAx>
      <c:spPr bwMode="auto">
        <a:prstGeom prst="rect">
          <a:avLst/>
        </a:prstGeom>
        <a:noFill/>
        <a:ln>
          <a:noFill/>
        </a:ln>
        <a:effectLst/>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GB"/>
              <a:t>Profitability</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'[1]Tutorial Questions'!$H$4</c:f>
              <c:strCache>
                <c:ptCount val="1"/>
                <c:pt idx="0">
                  <c:v>Return on assets</c:v>
                </c:pt>
              </c:strCache>
            </c:strRef>
          </c:tx>
          <c:spPr bwMode="auto">
            <a:prstGeom prst="rect">
              <a:avLst/>
            </a:prstGeom>
            <a:ln w="28575" cap="rnd">
              <a:solidFill>
                <a:schemeClr val="accent1"/>
              </a:solidFill>
              <a:round/>
            </a:ln>
            <a:effectLst/>
          </c:spPr>
          <c:marker>
            <c:symbol val="none"/>
          </c:marker>
          <c:cat>
            <c:strRef>
              <c:f>'[1]Tutorial Questions'!$I$2:$M$2</c:f>
              <c:strCache>
                <c:ptCount val="5"/>
                <c:pt idx="0">
                  <c:v>2021</c:v>
                </c:pt>
                <c:pt idx="1">
                  <c:v>2022</c:v>
                </c:pt>
                <c:pt idx="2">
                  <c:v>2023</c:v>
                </c:pt>
                <c:pt idx="3">
                  <c:v>2024</c:v>
                </c:pt>
                <c:pt idx="4">
                  <c:v>2025</c:v>
                </c:pt>
              </c:strCache>
            </c:strRef>
          </c:cat>
          <c:val>
            <c:numRef>
              <c:f>'[1]Tutorial Questions'!$I$4:$M$4</c:f>
              <c:numCache>
                <c:formatCode>0.00%</c:formatCode>
                <c:ptCount val="5"/>
                <c:pt idx="0">
                  <c:v>0.16084529357403546</c:v>
                </c:pt>
                <c:pt idx="1">
                  <c:v>0.17236032551179092</c:v>
                </c:pt>
                <c:pt idx="2">
                  <c:v>0.1621690040796</c:v>
                </c:pt>
                <c:pt idx="3">
                  <c:v>0.12585326679286404</c:v>
                </c:pt>
                <c:pt idx="4">
                  <c:v>0.11919540525922674</c:v>
                </c:pt>
              </c:numCache>
            </c:numRef>
          </c:val>
          <c:smooth val="0"/>
        </c:ser>
        <c:ser>
          <c:idx val="1"/>
          <c:order val="1"/>
          <c:tx>
            <c:strRef>
              <c:f>'[1]Tutorial Questions'!$H$5</c:f>
              <c:strCache>
                <c:ptCount val="1"/>
                <c:pt idx="0">
                  <c:v>Return on equity</c:v>
                </c:pt>
              </c:strCache>
            </c:strRef>
          </c:tx>
          <c:spPr bwMode="auto">
            <a:prstGeom prst="rect">
              <a:avLst/>
            </a:prstGeom>
            <a:ln w="28575" cap="rnd">
              <a:solidFill>
                <a:schemeClr val="accent2"/>
              </a:solidFill>
              <a:round/>
            </a:ln>
            <a:effectLst/>
          </c:spPr>
          <c:marker>
            <c:symbol val="none"/>
          </c:marker>
          <c:cat>
            <c:strRef>
              <c:f>'[1]Tutorial Questions'!$I$2:$M$2</c:f>
              <c:strCache>
                <c:ptCount val="5"/>
                <c:pt idx="0">
                  <c:v>2021</c:v>
                </c:pt>
                <c:pt idx="1">
                  <c:v>2022</c:v>
                </c:pt>
                <c:pt idx="2">
                  <c:v>2023</c:v>
                </c:pt>
                <c:pt idx="3">
                  <c:v>2024</c:v>
                </c:pt>
                <c:pt idx="4">
                  <c:v>2025</c:v>
                </c:pt>
              </c:strCache>
            </c:strRef>
          </c:cat>
          <c:val>
            <c:numRef>
              <c:f>'[1]Tutorial Questions'!$I$5:$M$5</c:f>
              <c:numCache>
                <c:formatCode>0.00%</c:formatCode>
                <c:ptCount val="5"/>
                <c:pt idx="0">
                  <c:v>0.38680810617775224</c:v>
                </c:pt>
                <c:pt idx="1">
                  <c:v>0.42560333236398</c:v>
                </c:pt>
                <c:pt idx="2">
                  <c:v>0.3695410760534702</c:v>
                </c:pt>
                <c:pt idx="3">
                  <c:v>0.2814444230645884</c:v>
                </c:pt>
                <c:pt idx="4">
                  <c:v>0.28536194351954597</c:v>
                </c:pt>
              </c:numCache>
            </c:numRef>
          </c:val>
          <c:smooth val="0"/>
        </c:ser>
        <c:ser>
          <c:idx val="2"/>
          <c:order val="2"/>
          <c:tx>
            <c:strRef>
              <c:f>'[1]Tutorial Questions'!$H$6</c:f>
              <c:strCache>
                <c:ptCount val="1"/>
                <c:pt idx="0">
                  <c:v>Net profit margin</c:v>
                </c:pt>
              </c:strCache>
            </c:strRef>
          </c:tx>
          <c:spPr bwMode="auto">
            <a:prstGeom prst="rect">
              <a:avLst/>
            </a:prstGeom>
            <a:ln w="28575" cap="rnd">
              <a:solidFill>
                <a:schemeClr val="accent3"/>
              </a:solidFill>
              <a:round/>
            </a:ln>
            <a:effectLst/>
          </c:spPr>
          <c:marker>
            <c:symbol val="none"/>
          </c:marker>
          <c:cat>
            <c:strRef>
              <c:f>'[1]Tutorial Questions'!$I$2:$M$2</c:f>
              <c:strCache>
                <c:ptCount val="5"/>
                <c:pt idx="0">
                  <c:v>2021</c:v>
                </c:pt>
                <c:pt idx="1">
                  <c:v>2022</c:v>
                </c:pt>
                <c:pt idx="2">
                  <c:v>2023</c:v>
                </c:pt>
                <c:pt idx="3">
                  <c:v>2024</c:v>
                </c:pt>
                <c:pt idx="4">
                  <c:v>2025</c:v>
                </c:pt>
              </c:strCache>
            </c:strRef>
          </c:cat>
          <c:val>
            <c:numRef>
              <c:f>'[1]Tutorial Questions'!$I$6:$M$6</c:f>
              <c:numCache>
                <c:formatCode>0.00%</c:formatCode>
                <c:ptCount val="5"/>
                <c:pt idx="0">
                  <c:v>0.05676245670126192</c:v>
                </c:pt>
                <c:pt idx="1">
                  <c:v>0.05902295775563262</c:v>
                </c:pt>
                <c:pt idx="2">
                  <c:v>0.05449602080653776</c:v>
                </c:pt>
                <c:pt idx="3">
                  <c:v>0.04574454776698217</c:v>
                </c:pt>
                <c:pt idx="4">
                  <c:v>0.04384734907340733</c:v>
                </c:pt>
              </c:numCache>
            </c:numRef>
          </c:val>
          <c:smooth val="0"/>
        </c:ser>
        <c:dLbls>
          <c:showBubbleSize val="0"/>
          <c:showCatName val="0"/>
          <c:showLeaderLines val="0"/>
          <c:showLegendKey val="0"/>
          <c:showPercent val="0"/>
          <c:showSerName val="0"/>
          <c:showVal val="0"/>
        </c:dLbls>
        <c:smooth val="0"/>
        <c:axId val="1666927984"/>
        <c:axId val="1666929712"/>
      </c:lineChart>
      <c:catAx>
        <c:axId val="1666927984"/>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1666929712"/>
        <c:crosses val="autoZero"/>
        <c:auto val="1"/>
        <c:lblAlgn val="ctr"/>
        <c:lblOffset val="100"/>
        <c:noMultiLvlLbl val="0"/>
      </c:catAx>
      <c:valAx>
        <c:axId val="1666929712"/>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0.00%"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1666927984"/>
        <c:crosses val="autoZero"/>
        <c:crossBetween val="between"/>
      </c:valAx>
      <c:spPr bwMode="auto">
        <a:prstGeom prst="rect">
          <a:avLst/>
        </a:prstGeom>
        <a:noFill/>
        <a:ln>
          <a:noFill/>
        </a:ln>
        <a:effectLst/>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 Id="rId3" Type="http://schemas.openxmlformats.org/officeDocument/2006/relationships/chart" Target="../charts/chart3.xml" /><Relationship Id="rId4" Type="http://schemas.openxmlformats.org/officeDocument/2006/relationships/chart" Target="../charts/chart4.xml" /><Relationship Id="rId5" Type="http://schemas.openxmlformats.org/officeDocument/2006/relationships/chart" Target="../charts/chart5.xml" /><Relationship Id="rId6" Type="http://schemas.openxmlformats.org/officeDocument/2006/relationships/chart" Target="../charts/chart6.xml" /><Relationship Id="rId7" Type="http://schemas.openxmlformats.org/officeDocument/2006/relationships/chart" Target="../charts/chart7.xml" /><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15</xdr:col>
      <xdr:colOff>698499</xdr:colOff>
      <xdr:row>14</xdr:row>
      <xdr:rowOff>93435</xdr:rowOff>
    </xdr:from>
    <xdr:to>
      <xdr:col>20</xdr:col>
      <xdr:colOff>317500</xdr:colOff>
      <xdr:row>28</xdr:row>
      <xdr:rowOff>42635</xdr:rowOff>
    </xdr:to>
    <xdr:graphicFrame>
      <xdr:nvGraphicFramePr>
        <xdr:cNvPr id="5" name="Chart 4"/>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20</xdr:col>
      <xdr:colOff>589643</xdr:colOff>
      <xdr:row>0</xdr:row>
      <xdr:rowOff>193221</xdr:rowOff>
    </xdr:from>
    <xdr:to>
      <xdr:col>25</xdr:col>
      <xdr:colOff>235857</xdr:colOff>
      <xdr:row>13</xdr:row>
      <xdr:rowOff>36285</xdr:rowOff>
    </xdr:to>
    <xdr:graphicFrame>
      <xdr:nvGraphicFramePr>
        <xdr:cNvPr id="6" name="Chart 5"/>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twoCell">
    <xdr:from>
      <xdr:col>20</xdr:col>
      <xdr:colOff>662215</xdr:colOff>
      <xdr:row>14</xdr:row>
      <xdr:rowOff>93436</xdr:rowOff>
    </xdr:from>
    <xdr:to>
      <xdr:col>25</xdr:col>
      <xdr:colOff>308428</xdr:colOff>
      <xdr:row>28</xdr:row>
      <xdr:rowOff>42637</xdr:rowOff>
    </xdr:to>
    <xdr:graphicFrame>
      <xdr:nvGraphicFramePr>
        <xdr:cNvPr id="8" name="Chart 7"/>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twoCell">
    <xdr:from>
      <xdr:col>15</xdr:col>
      <xdr:colOff>716643</xdr:colOff>
      <xdr:row>1</xdr:row>
      <xdr:rowOff>39007</xdr:rowOff>
    </xdr:from>
    <xdr:to>
      <xdr:col>20</xdr:col>
      <xdr:colOff>335643</xdr:colOff>
      <xdr:row>13</xdr:row>
      <xdr:rowOff>133349</xdr:rowOff>
    </xdr:to>
    <xdr:graphicFrame>
      <xdr:nvGraphicFramePr>
        <xdr:cNvPr id="2" name="Chart 1"/>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twoCell">
    <xdr:from>
      <xdr:col>15</xdr:col>
      <xdr:colOff>698499</xdr:colOff>
      <xdr:row>14</xdr:row>
      <xdr:rowOff>93435</xdr:rowOff>
    </xdr:from>
    <xdr:to>
      <xdr:col>20</xdr:col>
      <xdr:colOff>317500</xdr:colOff>
      <xdr:row>28</xdr:row>
      <xdr:rowOff>42635</xdr:rowOff>
    </xdr:to>
    <xdr:graphicFrame>
      <xdr:nvGraphicFramePr>
        <xdr:cNvPr id="3" name="Chart 2"/>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twoCell">
    <xdr:from>
      <xdr:col>20</xdr:col>
      <xdr:colOff>589643</xdr:colOff>
      <xdr:row>0</xdr:row>
      <xdr:rowOff>193221</xdr:rowOff>
    </xdr:from>
    <xdr:to>
      <xdr:col>25</xdr:col>
      <xdr:colOff>235857</xdr:colOff>
      <xdr:row>13</xdr:row>
      <xdr:rowOff>36285</xdr:rowOff>
    </xdr:to>
    <xdr:graphicFrame>
      <xdr:nvGraphicFramePr>
        <xdr:cNvPr id="4" name="Chart 3"/>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twoCell">
    <xdr:from>
      <xdr:col>20</xdr:col>
      <xdr:colOff>662215</xdr:colOff>
      <xdr:row>14</xdr:row>
      <xdr:rowOff>93436</xdr:rowOff>
    </xdr:from>
    <xdr:to>
      <xdr:col>25</xdr:col>
      <xdr:colOff>308428</xdr:colOff>
      <xdr:row>28</xdr:row>
      <xdr:rowOff>42637</xdr:rowOff>
    </xdr:to>
    <xdr:graphicFrame>
      <xdr:nvGraphicFramePr>
        <xdr:cNvPr id="7" name="Chart 6"/>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twoCell">
    <xdr:from>
      <xdr:col>15</xdr:col>
      <xdr:colOff>716643</xdr:colOff>
      <xdr:row>1</xdr:row>
      <xdr:rowOff>39007</xdr:rowOff>
    </xdr:from>
    <xdr:to>
      <xdr:col>20</xdr:col>
      <xdr:colOff>335643</xdr:colOff>
      <xdr:row>13</xdr:row>
      <xdr:rowOff>133349</xdr:rowOff>
    </xdr:to>
    <xdr:graphicFrame>
      <xdr:nvGraphicFramePr>
        <xdr:cNvPr id="9" name="Chart 8"/>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Week%204%20Tutorial%20Homework%20Worksheet%20-%20JB%20Hi%20Fi%20Ratio%20Analysis%20T1%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torial Questions"/>
    </sheetNames>
    <sheetDataSet>
      <sheetData sheetId="0">
        <row r="2">
          <cell r="I2" t="e">
            <v>#REF!</v>
          </cell>
          <cell r="J2" t="e">
            <v>#REF!</v>
          </cell>
          <cell r="K2" t="e">
            <v>#REF!</v>
          </cell>
          <cell r="L2" t="e">
            <v>#REF!</v>
          </cell>
          <cell r="M2" t="e">
            <v>#REF!</v>
          </cell>
        </row>
        <row r="4">
          <cell r="H4" t="e">
            <v>#REF!</v>
          </cell>
          <cell r="I4" t="e">
            <v>#REF!</v>
          </cell>
          <cell r="J4" t="e">
            <v>#REF!</v>
          </cell>
          <cell r="K4" t="e">
            <v>#REF!</v>
          </cell>
          <cell r="L4" t="e">
            <v>#REF!</v>
          </cell>
          <cell r="M4" t="e">
            <v>#REF!</v>
          </cell>
        </row>
        <row r="5">
          <cell r="H5" t="e">
            <v>#REF!</v>
          </cell>
          <cell r="I5" t="e">
            <v>#REF!</v>
          </cell>
          <cell r="J5" t="e">
            <v>#REF!</v>
          </cell>
          <cell r="K5" t="e">
            <v>#REF!</v>
          </cell>
          <cell r="L5" t="e">
            <v>#REF!</v>
          </cell>
          <cell r="M5" t="e">
            <v>#REF!</v>
          </cell>
        </row>
        <row r="6">
          <cell r="H6" t="e">
            <v>#REF!</v>
          </cell>
          <cell r="I6" t="e">
            <v>#REF!</v>
          </cell>
          <cell r="J6" t="e">
            <v>#REF!</v>
          </cell>
          <cell r="K6" t="e">
            <v>#REF!</v>
          </cell>
          <cell r="L6" t="e">
            <v>#REF!</v>
          </cell>
          <cell r="M6" t="e">
            <v>#REF!</v>
          </cell>
        </row>
        <row r="14">
          <cell r="H14" t="e">
            <v>#REF!</v>
          </cell>
          <cell r="I14" t="e">
            <v>#REF!</v>
          </cell>
        </row>
        <row r="15">
          <cell r="H15" t="e">
            <v>#REF!</v>
          </cell>
          <cell r="I15" t="e">
            <v>#REF!</v>
          </cell>
        </row>
        <row r="16">
          <cell r="H16" t="e">
            <v>#REF!</v>
          </cell>
          <cell r="I16" t="e">
            <v>#REF!</v>
          </cell>
        </row>
        <row r="19">
          <cell r="H19" t="e">
            <v>#REF!</v>
          </cell>
          <cell r="I19" t="e">
            <v>#REF!</v>
          </cell>
        </row>
        <row r="20">
          <cell r="H20" t="e">
            <v>#REF!</v>
          </cell>
          <cell r="I20" t="e">
            <v>#REF!</v>
          </cell>
        </row>
        <row r="23">
          <cell r="H23" t="e">
            <v>#REF!</v>
          </cell>
          <cell r="I23" t="e">
            <v>#REF!</v>
          </cell>
        </row>
        <row r="24">
          <cell r="H24" t="e">
            <v>#REF!</v>
          </cell>
          <cell r="I24" t="e">
            <v>#REF!</v>
          </cell>
        </row>
        <row r="25">
          <cell r="H25" t="e">
            <v>#REF!</v>
          </cell>
          <cell r="I25" t="e">
            <v>#REF!</v>
          </cell>
        </row>
      </sheetData>
    </sheetDataSet>
  </externalBook>
</externalLink>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5" workbookViewId="0">
      <selection activeCell="H1" activeCellId="0" sqref="H1"/>
    </sheetView>
  </sheetViews>
  <sheetFormatPr defaultColWidth="11" defaultRowHeight="16.5"/>
  <cols>
    <col bestFit="1" customWidth="1" min="1" max="1" width="26.375"/>
    <col customWidth="1" min="8" max="8" width="33.5"/>
    <col bestFit="1" customWidth="1" min="9" max="9" width="17.875"/>
    <col bestFit="1" customWidth="1" min="10" max="14" width="11.625"/>
    <col customWidth="1" min="15" max="15" width="14.5"/>
    <col customWidth="1" min="17" max="17" width="21.625"/>
    <col bestFit="1" customWidth="1" min="23" max="23" width="21.375"/>
  </cols>
  <sheetData>
    <row r="1">
      <c r="A1" s="1" t="s">
        <v>0</v>
      </c>
      <c r="I1" s="2" t="s">
        <v>1</v>
      </c>
    </row>
    <row r="2" ht="33">
      <c r="A2" s="3" t="s">
        <v>2</v>
      </c>
      <c r="I2" s="3" t="s">
        <v>3</v>
      </c>
      <c r="J2" s="3">
        <v>2021</v>
      </c>
      <c r="K2" s="3">
        <v>2022</v>
      </c>
      <c r="L2" s="3">
        <v>2023</v>
      </c>
      <c r="M2" s="3">
        <v>2024</v>
      </c>
      <c r="N2" s="3">
        <v>2025</v>
      </c>
      <c r="O2" s="4" t="s">
        <v>4</v>
      </c>
    </row>
    <row r="3">
      <c r="H3" s="5" t="s">
        <v>5</v>
      </c>
      <c r="I3" s="6" t="s">
        <v>6</v>
      </c>
      <c r="J3" s="6"/>
      <c r="K3" s="6"/>
      <c r="L3" s="6"/>
      <c r="M3" s="6"/>
      <c r="N3" s="6"/>
      <c r="O3" s="6"/>
      <c r="Q3" s="3"/>
      <c r="R3" s="3"/>
      <c r="S3" s="3"/>
      <c r="T3" s="3"/>
      <c r="U3" s="3"/>
      <c r="V3" s="3"/>
      <c r="W3" s="3"/>
    </row>
    <row r="4" ht="16.5">
      <c r="A4" s="2" t="s">
        <v>7</v>
      </c>
      <c r="H4" s="7" t="s">
        <v>8</v>
      </c>
      <c r="I4" s="8" t="s">
        <v>9</v>
      </c>
      <c r="J4" s="9">
        <f>B17/B34</f>
        <v>0.16084529357403546</v>
      </c>
      <c r="K4" s="9">
        <f>C17/C34</f>
        <v>0.17236032551179092</v>
      </c>
      <c r="L4" s="9">
        <f>D17/D34</f>
        <v>0.1621690040796</v>
      </c>
      <c r="M4" s="9">
        <f>E17/E34</f>
        <v>0.12585326679286404</v>
      </c>
      <c r="N4" s="9">
        <f>F17/F34</f>
        <v>0.11919540525922674</v>
      </c>
      <c r="O4" s="10"/>
      <c r="R4" s="11"/>
      <c r="S4" s="11"/>
      <c r="T4" s="11"/>
      <c r="U4" s="11"/>
      <c r="V4" s="11"/>
      <c r="W4" s="12"/>
    </row>
    <row r="5">
      <c r="A5" s="13"/>
      <c r="B5" s="14">
        <v>2021</v>
      </c>
      <c r="C5" s="14">
        <v>2022</v>
      </c>
      <c r="D5" s="14">
        <v>2023</v>
      </c>
      <c r="E5" s="14">
        <v>2024</v>
      </c>
      <c r="F5" s="15">
        <v>2025</v>
      </c>
      <c r="G5" s="3"/>
      <c r="H5" s="7" t="s">
        <v>10</v>
      </c>
      <c r="I5" s="8" t="s">
        <v>11</v>
      </c>
      <c r="J5" s="9">
        <f>B17/B57</f>
        <v>0.38680810617775224</v>
      </c>
      <c r="K5" s="9">
        <f>C17/C57</f>
        <v>0.42560333236398001</v>
      </c>
      <c r="L5" s="9">
        <f>D17/D57</f>
        <v>0.3695410760534702</v>
      </c>
      <c r="M5" s="9">
        <f>E17/E57</f>
        <v>0.28144442306458839</v>
      </c>
      <c r="N5" s="9">
        <f>F17/F57</f>
        <v>0.28536194351954597</v>
      </c>
      <c r="O5" s="10"/>
      <c r="R5" s="11"/>
      <c r="S5" s="11"/>
      <c r="T5" s="11"/>
      <c r="U5" s="11"/>
      <c r="V5" s="11"/>
      <c r="W5" s="16"/>
    </row>
    <row r="6">
      <c r="A6" s="17" t="s">
        <v>12</v>
      </c>
      <c r="B6" s="18">
        <v>8916.0996090000008</v>
      </c>
      <c r="C6" s="18">
        <v>9232</v>
      </c>
      <c r="D6" s="18">
        <v>9626.4003909999992</v>
      </c>
      <c r="E6" s="18">
        <v>9592.3999999999996</v>
      </c>
      <c r="F6" s="19">
        <v>10554.799999999999</v>
      </c>
      <c r="G6" s="20"/>
      <c r="H6" s="21" t="s">
        <v>13</v>
      </c>
      <c r="I6" s="8" t="s">
        <v>14</v>
      </c>
      <c r="J6" s="9">
        <f>B17/B6</f>
        <v>0.056762456701261919</v>
      </c>
      <c r="K6" s="9">
        <f>C17/C6</f>
        <v>0.05902295775563262</v>
      </c>
      <c r="L6" s="9">
        <f>D17/D6</f>
        <v>0.054496020806537759</v>
      </c>
      <c r="M6" s="9">
        <f>E17/E6</f>
        <v>0.045744547766982169</v>
      </c>
      <c r="N6" s="9">
        <f>F17/F6</f>
        <v>0.04384734907340733</v>
      </c>
      <c r="O6" s="10"/>
      <c r="R6" s="22"/>
      <c r="S6" s="22"/>
      <c r="T6" s="22"/>
      <c r="U6" s="22"/>
      <c r="V6" s="22"/>
      <c r="W6" s="16"/>
    </row>
    <row r="7">
      <c r="A7" s="17" t="s">
        <v>15</v>
      </c>
      <c r="B7" s="18">
        <v>-6938.8999020000001</v>
      </c>
      <c r="C7" s="18">
        <v>-7151.6000979999999</v>
      </c>
      <c r="D7" s="18">
        <v>-7443.8999020000001</v>
      </c>
      <c r="E7" s="18">
        <v>-7452</v>
      </c>
      <c r="F7" s="19">
        <v>-8194.3999999999996</v>
      </c>
      <c r="G7" s="20"/>
      <c r="Q7" s="3"/>
      <c r="R7" s="23"/>
      <c r="S7" s="23"/>
      <c r="T7" s="23"/>
      <c r="U7" s="23"/>
      <c r="V7" s="23"/>
      <c r="W7" s="16"/>
    </row>
    <row r="8">
      <c r="A8" s="24" t="s">
        <v>16</v>
      </c>
      <c r="B8" s="25">
        <f t="shared" ref="B8:E8" si="0">SUM(B6:B7)</f>
        <v>1977.1997070000007</v>
      </c>
      <c r="C8" s="25">
        <f t="shared" si="0"/>
        <v>2080.3999020000001</v>
      </c>
      <c r="D8" s="25">
        <f t="shared" si="0"/>
        <v>2182.5004889999991</v>
      </c>
      <c r="E8" s="25">
        <f t="shared" si="0"/>
        <v>2140.3999999999996</v>
      </c>
      <c r="F8" s="26">
        <f>SUM(F6:F7)</f>
        <v>2360.3999999999996</v>
      </c>
      <c r="G8" s="25"/>
    </row>
    <row r="9">
      <c r="A9" s="17" t="s">
        <v>17</v>
      </c>
      <c r="B9" s="18">
        <v>2.8999999999999999</v>
      </c>
      <c r="C9" s="18">
        <v>3</v>
      </c>
      <c r="D9" s="18">
        <v>7.5999999999999996</v>
      </c>
      <c r="E9" s="18">
        <v>13</v>
      </c>
      <c r="F9" s="19">
        <v>12.6</v>
      </c>
      <c r="G9" s="20"/>
      <c r="I9" s="6" t="s">
        <v>18</v>
      </c>
      <c r="J9" s="6"/>
      <c r="K9" s="6"/>
      <c r="L9" s="6"/>
      <c r="M9" s="6"/>
      <c r="N9" s="6"/>
      <c r="O9" s="6"/>
    </row>
    <row r="10">
      <c r="A10" s="17" t="s">
        <v>19</v>
      </c>
      <c r="B10" s="18">
        <v>-24.700001</v>
      </c>
      <c r="C10" s="18">
        <v>-20.100000000000001</v>
      </c>
      <c r="D10" s="18">
        <v>-26.299999</v>
      </c>
      <c r="E10" s="18">
        <v>-31</v>
      </c>
      <c r="F10" s="19">
        <v>-37.700000000000003</v>
      </c>
      <c r="G10" s="20"/>
      <c r="H10" s="21" t="s">
        <v>20</v>
      </c>
      <c r="I10" s="8" t="s">
        <v>21</v>
      </c>
      <c r="J10" s="27">
        <f>B6/B34</f>
        <v>2.8336563094961962</v>
      </c>
      <c r="K10" s="27">
        <f>C6/C34</f>
        <v>2.9202251473977077</v>
      </c>
      <c r="L10" s="27">
        <f>D6/D34</f>
        <v>2.9757953274295756</v>
      </c>
      <c r="M10" s="27">
        <f>E6/E34</f>
        <v>2.7512189525612345</v>
      </c>
      <c r="N10" s="27">
        <f>F6/F34</f>
        <v>2.7184175960027814</v>
      </c>
      <c r="O10" s="28"/>
    </row>
    <row r="11">
      <c r="A11" s="17" t="s">
        <v>22</v>
      </c>
      <c r="B11" s="18">
        <v>-845.79998799999998</v>
      </c>
      <c r="C11" s="18">
        <v>-881.09997599999997</v>
      </c>
      <c r="D11" s="18">
        <v>-978.29998799999998</v>
      </c>
      <c r="E11" s="18">
        <v>-1039.0999999999999</v>
      </c>
      <c r="F11" s="19">
        <v>-1167</v>
      </c>
      <c r="G11" s="20"/>
      <c r="I11" s="8" t="s">
        <v>23</v>
      </c>
      <c r="J11" s="27">
        <f>ABS(B7)/B24</f>
        <v>7.3912441315455153</v>
      </c>
      <c r="K11" s="27">
        <f>ABS(C7)/C24</f>
        <v>6.2993039631234966</v>
      </c>
      <c r="L11" s="27">
        <f>ABS(D7)/D24</f>
        <v>7.151407176833728</v>
      </c>
      <c r="M11" s="27">
        <f>ABS(E7)/E24</f>
        <v>6.814191660570593</v>
      </c>
      <c r="N11" s="27">
        <f>ABS(F7)/F24</f>
        <v>6.310666153253754</v>
      </c>
      <c r="O11" s="16"/>
    </row>
    <row r="12">
      <c r="A12" s="17" t="s">
        <v>24</v>
      </c>
      <c r="B12" s="18">
        <v>-293.60000600000001</v>
      </c>
      <c r="C12" s="18">
        <v>-302.79998799999998</v>
      </c>
      <c r="D12" s="18">
        <v>-321.79998799999998</v>
      </c>
      <c r="E12" s="18">
        <v>-328</v>
      </c>
      <c r="F12" s="19">
        <v>-349.60000000000002</v>
      </c>
      <c r="G12" s="20"/>
      <c r="I12" s="8" t="s">
        <v>25</v>
      </c>
      <c r="J12" s="27">
        <f>B6/B23</f>
        <v>86.732486468871599</v>
      </c>
      <c r="K12" s="27">
        <f>C6/C23</f>
        <v>69.622926093514337</v>
      </c>
      <c r="L12" s="27">
        <f>D6/D23</f>
        <v>65.709217686006824</v>
      </c>
      <c r="M12" s="27">
        <f>E6/E23</f>
        <v>71.002220577350116</v>
      </c>
      <c r="N12" s="27">
        <f>F6/F23</f>
        <v>56.594101876675602</v>
      </c>
      <c r="O12" s="16"/>
    </row>
    <row r="13">
      <c r="A13" s="17" t="s">
        <v>26</v>
      </c>
      <c r="B13" s="18">
        <v>-41.299999</v>
      </c>
      <c r="C13" s="18">
        <v>-41.799999</v>
      </c>
      <c r="D13" s="18">
        <v>-46</v>
      </c>
      <c r="E13" s="18">
        <v>-48.100000000000001</v>
      </c>
      <c r="F13" s="19">
        <v>-52.700000000000003</v>
      </c>
      <c r="G13" s="20"/>
      <c r="I13" s="8" t="s">
        <v>27</v>
      </c>
      <c r="J13" s="27">
        <f>ABS(B7)/B36</f>
        <v>10.378252919533352</v>
      </c>
      <c r="K13" s="27">
        <f>ABS(C7)/C36</f>
        <v>9.9107540160753871</v>
      </c>
      <c r="L13" s="27">
        <f>ABS(D7)/D36</f>
        <v>11.270098261922787</v>
      </c>
      <c r="M13" s="27">
        <f>ABS(E7)/E36</f>
        <v>10.338512763596006</v>
      </c>
      <c r="N13" s="27">
        <f>ABS(F7)/F36</f>
        <v>9.2498024607743528</v>
      </c>
      <c r="O13" s="16"/>
    </row>
    <row r="14">
      <c r="A14" s="17" t="s">
        <v>28</v>
      </c>
      <c r="B14" s="18">
        <v>-54.700001</v>
      </c>
      <c r="C14" s="18">
        <v>-62.299999</v>
      </c>
      <c r="D14" s="18">
        <v>-70.599997999999999</v>
      </c>
      <c r="E14" s="18">
        <v>-79.799999999999997</v>
      </c>
      <c r="F14" s="19">
        <v>-98</v>
      </c>
      <c r="G14" s="20"/>
      <c r="H14" s="21" t="s">
        <v>29</v>
      </c>
      <c r="I14" s="8" t="s">
        <v>30</v>
      </c>
      <c r="J14" s="27">
        <f t="shared" ref="J14:J16" si="1">365/J11</f>
        <v>49.382755257967403</v>
      </c>
      <c r="K14" s="27">
        <f t="shared" ref="K14:K16" si="2">365/K11</f>
        <v>57.942909587588076</v>
      </c>
      <c r="L14" s="27">
        <f t="shared" ref="L14:L16" si="3">365/L11</f>
        <v>51.038906186516854</v>
      </c>
      <c r="M14" s="27">
        <f t="shared" ref="M14:M16" si="4">365/M11</f>
        <v>53.564680622651636</v>
      </c>
      <c r="N14" s="27">
        <f t="shared" ref="N14:N16" si="5">365/N11</f>
        <v>57.838584887240067</v>
      </c>
      <c r="O14" s="29"/>
    </row>
    <row r="15">
      <c r="A15" s="24" t="s">
        <v>31</v>
      </c>
      <c r="B15" s="25">
        <f t="shared" ref="B15:E15" si="6">SUM(B8:B14)</f>
        <v>719.99971200000084</v>
      </c>
      <c r="C15" s="25">
        <f t="shared" si="6"/>
        <v>775.29994000000033</v>
      </c>
      <c r="D15" s="25">
        <f t="shared" si="6"/>
        <v>747.10051599999917</v>
      </c>
      <c r="E15" s="25">
        <f t="shared" si="6"/>
        <v>627.39999999999975</v>
      </c>
      <c r="F15" s="26">
        <f>SUM(F8:F14)</f>
        <v>667.99999999999966</v>
      </c>
      <c r="G15" s="25"/>
      <c r="H15" s="21" t="s">
        <v>32</v>
      </c>
      <c r="I15" s="8" t="s">
        <v>33</v>
      </c>
      <c r="J15" s="27">
        <f t="shared" si="1"/>
        <v>4.2083423969517924</v>
      </c>
      <c r="K15" s="27">
        <f t="shared" si="2"/>
        <v>5.2425259965337947</v>
      </c>
      <c r="L15" s="27">
        <f t="shared" si="3"/>
        <v>5.5547762224801067</v>
      </c>
      <c r="M15" s="27">
        <f t="shared" si="4"/>
        <v>5.1406842917309534</v>
      </c>
      <c r="N15" s="27">
        <f t="shared" si="5"/>
        <v>6.4494353280024255</v>
      </c>
      <c r="O15" s="28"/>
    </row>
    <row r="16">
      <c r="A16" s="17" t="s">
        <v>34</v>
      </c>
      <c r="B16" s="18">
        <v>-213.89999399999999</v>
      </c>
      <c r="C16" s="18">
        <v>-230.39999399999999</v>
      </c>
      <c r="D16" s="18">
        <v>-222.5</v>
      </c>
      <c r="E16" s="18">
        <v>-188.59999999999999</v>
      </c>
      <c r="F16" s="19">
        <v>-205.19999999999999</v>
      </c>
      <c r="G16" s="20"/>
      <c r="H16" s="21" t="s">
        <v>35</v>
      </c>
      <c r="I16" s="8" t="s">
        <v>36</v>
      </c>
      <c r="J16" s="27">
        <f t="shared" si="1"/>
        <v>35.16969598158645</v>
      </c>
      <c r="K16" s="27">
        <f t="shared" si="2"/>
        <v>36.828681188935242</v>
      </c>
      <c r="L16" s="27">
        <f t="shared" si="3"/>
        <v>32.386585415425429</v>
      </c>
      <c r="M16" s="27">
        <f t="shared" si="4"/>
        <v>35.304884594739661</v>
      </c>
      <c r="N16" s="27">
        <f t="shared" si="5"/>
        <v>39.460302157571029</v>
      </c>
      <c r="O16" s="28"/>
    </row>
    <row r="17" ht="16.5">
      <c r="A17" s="30" t="s">
        <v>37</v>
      </c>
      <c r="B17" s="31">
        <f t="shared" ref="B17:E17" si="7">SUM(B15:B16)</f>
        <v>506.09971800000085</v>
      </c>
      <c r="C17" s="31">
        <f t="shared" si="7"/>
        <v>544.89994600000034</v>
      </c>
      <c r="D17" s="31">
        <f t="shared" si="7"/>
        <v>524.60051599999917</v>
      </c>
      <c r="E17" s="31">
        <f t="shared" si="7"/>
        <v>438.79999999999973</v>
      </c>
      <c r="F17" s="32">
        <f>SUM(F15:F16)</f>
        <v>462.79999999999967</v>
      </c>
      <c r="G17" s="25"/>
    </row>
    <row r="18">
      <c r="I18" s="6" t="s">
        <v>38</v>
      </c>
      <c r="J18" s="6"/>
      <c r="K18" s="6"/>
      <c r="L18" s="6"/>
      <c r="M18" s="6"/>
      <c r="N18" s="6"/>
      <c r="O18" s="6"/>
    </row>
    <row r="19" ht="16.5">
      <c r="A19" s="2" t="s">
        <v>39</v>
      </c>
      <c r="H19" s="21" t="s">
        <v>40</v>
      </c>
      <c r="I19" s="8" t="s">
        <v>41</v>
      </c>
      <c r="J19" s="27">
        <f>B26/B43</f>
        <v>1.0754111563998932</v>
      </c>
      <c r="K19" s="27">
        <f>C26/C43</f>
        <v>1.0906377140850971</v>
      </c>
      <c r="L19" s="27">
        <f>D26/D43</f>
        <v>1.1809435563459689</v>
      </c>
      <c r="M19" s="27">
        <f>E26/E43</f>
        <v>1.2101769911504425</v>
      </c>
      <c r="N19" s="27">
        <f>F26/F43</f>
        <v>1.1705996131528045</v>
      </c>
      <c r="O19" s="33"/>
    </row>
    <row r="20">
      <c r="A20" s="13"/>
      <c r="B20" s="14">
        <v>2021</v>
      </c>
      <c r="C20" s="14">
        <v>2022</v>
      </c>
      <c r="D20" s="14">
        <v>2023</v>
      </c>
      <c r="E20" s="14">
        <v>2024</v>
      </c>
      <c r="F20" s="15">
        <v>2025</v>
      </c>
      <c r="G20" s="3"/>
      <c r="H20" s="21" t="s">
        <v>42</v>
      </c>
      <c r="I20" s="8" t="s">
        <v>43</v>
      </c>
      <c r="J20" s="27">
        <f>(B22+B23)/B43</f>
        <v>0.29362215303789246</v>
      </c>
      <c r="K20" s="27">
        <f>(C22+C23)/C43</f>
        <v>0.19765750425043441</v>
      </c>
      <c r="L20" s="27">
        <f>(D22+D23)/D43</f>
        <v>0.27327200722454886</v>
      </c>
      <c r="M20" s="27">
        <f>(E22+E23)/E43</f>
        <v>0.34543790051876716</v>
      </c>
      <c r="N20" s="27">
        <f>(F22+F23)/F43</f>
        <v>0.30341715022566085</v>
      </c>
      <c r="O20" s="33"/>
    </row>
    <row r="21">
      <c r="A21" s="34" t="s">
        <v>44</v>
      </c>
      <c r="B21" s="3"/>
      <c r="C21" s="3"/>
      <c r="D21" s="3"/>
      <c r="E21" s="3"/>
      <c r="F21" s="35"/>
      <c r="G21" s="3"/>
    </row>
    <row r="22">
      <c r="A22" s="17" t="s">
        <v>45</v>
      </c>
      <c r="B22" s="18">
        <v>263.20001200000002</v>
      </c>
      <c r="C22" s="18">
        <v>125.599998</v>
      </c>
      <c r="D22" s="18">
        <v>177.300003</v>
      </c>
      <c r="E22" s="18">
        <v>317.69999999999999</v>
      </c>
      <c r="F22" s="19">
        <v>284.10000000000002</v>
      </c>
      <c r="G22" s="20"/>
      <c r="I22" s="6" t="s">
        <v>46</v>
      </c>
      <c r="J22" s="6"/>
      <c r="K22" s="6"/>
      <c r="L22" s="6"/>
      <c r="M22" s="6"/>
      <c r="N22" s="6"/>
      <c r="O22" s="6"/>
    </row>
    <row r="23">
      <c r="A23" s="17" t="s">
        <v>47</v>
      </c>
      <c r="B23" s="18">
        <v>102.8</v>
      </c>
      <c r="C23" s="18">
        <v>132.59999999999999</v>
      </c>
      <c r="D23" s="18">
        <v>146.5</v>
      </c>
      <c r="E23" s="18">
        <v>135.09999999999999</v>
      </c>
      <c r="F23" s="19">
        <v>186.5</v>
      </c>
      <c r="G23" s="20"/>
      <c r="H23" s="21" t="s">
        <v>48</v>
      </c>
      <c r="I23" s="8" t="s">
        <v>49</v>
      </c>
      <c r="J23" s="9">
        <f>B51/B34</f>
        <v>0.58417288592852312</v>
      </c>
      <c r="K23" s="9">
        <f>C51/C34</f>
        <v>0.59502117934251009</v>
      </c>
      <c r="L23" s="9">
        <f>D51/D34</f>
        <v>0.561161087738826</v>
      </c>
      <c r="M23" s="9">
        <f>E51/E34</f>
        <v>0.55283083806573741</v>
      </c>
      <c r="N23" s="9">
        <f>F51/F34</f>
        <v>0.58230097612486176</v>
      </c>
      <c r="O23" s="36"/>
    </row>
    <row r="24">
      <c r="A24" s="17" t="s">
        <v>50</v>
      </c>
      <c r="B24" s="18">
        <v>938.79998799999998</v>
      </c>
      <c r="C24" s="18">
        <v>1135.3000489999999</v>
      </c>
      <c r="D24" s="18">
        <v>1040.900024</v>
      </c>
      <c r="E24" s="18">
        <v>1093.5999999999999</v>
      </c>
      <c r="F24" s="19">
        <v>1298.5</v>
      </c>
      <c r="G24" s="20"/>
      <c r="I24" s="8" t="s">
        <v>51</v>
      </c>
      <c r="J24" s="9">
        <f>B51/B57</f>
        <v>1.4048456293960243</v>
      </c>
      <c r="K24" s="9">
        <f>C51/C57</f>
        <v>1.4692650179405333</v>
      </c>
      <c r="L24" s="9">
        <f>D51/D57</f>
        <v>1.2787404928537012</v>
      </c>
      <c r="M24" s="9">
        <f>E51/E57</f>
        <v>1.2362901674042717</v>
      </c>
      <c r="N24" s="9">
        <f>F51/F57</f>
        <v>1.3940683191515604</v>
      </c>
      <c r="O24" s="37"/>
    </row>
    <row r="25">
      <c r="A25" s="17" t="s">
        <v>52</v>
      </c>
      <c r="B25" s="18">
        <v>35.700000000000003</v>
      </c>
      <c r="C25" s="18">
        <v>31.199999999999999</v>
      </c>
      <c r="D25" s="18">
        <v>34.600000000000001</v>
      </c>
      <c r="E25" s="18">
        <v>39.899999999999999</v>
      </c>
      <c r="F25" s="19">
        <v>46.5</v>
      </c>
      <c r="G25" s="20"/>
      <c r="I25" s="8" t="s">
        <v>53</v>
      </c>
      <c r="J25" s="9">
        <f>B34/B57</f>
        <v>2.4048456599677155</v>
      </c>
      <c r="K25" s="9">
        <f>C34/C57</f>
        <v>2.4692650765205539</v>
      </c>
      <c r="L25" s="9">
        <f>D34/D57</f>
        <v>2.2787404914448541</v>
      </c>
      <c r="M25" s="9">
        <f>E34/E57</f>
        <v>2.2362901674042717</v>
      </c>
      <c r="N25" s="9">
        <f>F34/F57</f>
        <v>2.3940683191515602</v>
      </c>
      <c r="O25" s="37"/>
    </row>
    <row r="26">
      <c r="A26" s="24" t="s">
        <v>54</v>
      </c>
      <c r="B26" s="38">
        <f t="shared" ref="B26:E26" si="8">SUM(B22:B25)</f>
        <v>1340.5</v>
      </c>
      <c r="C26" s="38">
        <f t="shared" si="8"/>
        <v>1424.700047</v>
      </c>
      <c r="D26" s="38">
        <f t="shared" si="8"/>
        <v>1399.300027</v>
      </c>
      <c r="E26" s="38">
        <f t="shared" si="8"/>
        <v>1586.3</v>
      </c>
      <c r="F26" s="39">
        <f>SUM(F22:F25)</f>
        <v>1815.5999999999999</v>
      </c>
      <c r="G26" s="38"/>
    </row>
    <row r="27">
      <c r="A27" s="34" t="s">
        <v>55</v>
      </c>
      <c r="B27" s="18"/>
      <c r="C27" s="18"/>
      <c r="D27" s="18"/>
      <c r="E27" s="18"/>
      <c r="F27" s="19"/>
      <c r="G27" s="20"/>
      <c r="I27" s="40" t="s">
        <v>56</v>
      </c>
      <c r="J27" s="41"/>
      <c r="K27" s="41"/>
      <c r="L27" s="41"/>
      <c r="M27" s="41"/>
      <c r="N27" s="41"/>
    </row>
    <row r="28">
      <c r="A28" s="17" t="s">
        <v>57</v>
      </c>
      <c r="B28" s="18">
        <v>169</v>
      </c>
      <c r="C28" s="18">
        <v>169</v>
      </c>
      <c r="D28" s="18">
        <v>182.800003</v>
      </c>
      <c r="E28" s="18">
        <v>196.90000000000001</v>
      </c>
      <c r="F28" s="19">
        <v>224.80000000000001</v>
      </c>
      <c r="G28" s="20"/>
    </row>
    <row r="29">
      <c r="A29" s="17" t="s">
        <v>58</v>
      </c>
      <c r="B29" s="18">
        <v>30.299999</v>
      </c>
      <c r="C29" s="18">
        <v>30.600000000000001</v>
      </c>
      <c r="D29" s="18">
        <v>41.099997999999999</v>
      </c>
      <c r="E29" s="18">
        <v>50.200000000000003</v>
      </c>
      <c r="F29" s="19">
        <v>65.700000000000003</v>
      </c>
      <c r="G29" s="20"/>
    </row>
    <row r="30">
      <c r="A30" s="17" t="s">
        <v>59</v>
      </c>
      <c r="B30" s="18">
        <v>39</v>
      </c>
      <c r="C30" s="18">
        <v>44.099997999999999</v>
      </c>
      <c r="D30" s="18">
        <v>50.200001</v>
      </c>
      <c r="E30" s="18">
        <v>53.5</v>
      </c>
      <c r="F30" s="19">
        <v>1080.7</v>
      </c>
      <c r="G30" s="20"/>
    </row>
    <row r="31">
      <c r="A31" s="17" t="s">
        <v>60</v>
      </c>
      <c r="B31" s="18">
        <v>1031.400024</v>
      </c>
      <c r="C31" s="18">
        <v>1031.400024</v>
      </c>
      <c r="D31" s="18">
        <v>1031.400024</v>
      </c>
      <c r="E31" s="18">
        <v>1031.4000000000001</v>
      </c>
      <c r="F31" s="19">
        <v>638.70000000000005</v>
      </c>
      <c r="G31" s="20"/>
      <c r="I31" s="2" t="s">
        <v>61</v>
      </c>
    </row>
    <row r="32">
      <c r="A32" s="17" t="s">
        <v>62</v>
      </c>
      <c r="B32" s="18">
        <v>536.29998799999998</v>
      </c>
      <c r="C32" s="18">
        <v>461.60000600000001</v>
      </c>
      <c r="D32" s="18">
        <v>530.09997599999997</v>
      </c>
      <c r="E32" s="18">
        <v>568.29999999999995</v>
      </c>
      <c r="F32" s="19">
        <v>57.200000000000003</v>
      </c>
      <c r="G32" s="20"/>
      <c r="I32" s="42" t="s">
        <v>63</v>
      </c>
      <c r="Q32" s="42" t="s">
        <v>64</v>
      </c>
    </row>
    <row r="33" ht="15.949999999999999" customHeight="1">
      <c r="A33" s="24" t="s">
        <v>65</v>
      </c>
      <c r="B33" s="38">
        <f t="shared" ref="B33:E33" si="9">SUM(B28:B32)</f>
        <v>1806.0000110000001</v>
      </c>
      <c r="C33" s="38">
        <f t="shared" si="9"/>
        <v>1736.7000280000002</v>
      </c>
      <c r="D33" s="38">
        <f t="shared" si="9"/>
        <v>1835.6000020000001</v>
      </c>
      <c r="E33" s="38">
        <f t="shared" si="9"/>
        <v>1900.3</v>
      </c>
      <c r="F33" s="39">
        <f>SUM(F28:F32)</f>
        <v>2067.0999999999999</v>
      </c>
      <c r="G33" s="38"/>
      <c r="I33" s="43"/>
      <c r="J33" s="44"/>
      <c r="K33" s="44"/>
      <c r="L33" s="44"/>
      <c r="M33" s="44"/>
      <c r="N33" s="44"/>
      <c r="O33" s="45"/>
      <c r="Q33" s="43"/>
      <c r="R33" s="44"/>
      <c r="S33" s="44"/>
      <c r="T33" s="44"/>
      <c r="U33" s="44"/>
      <c r="V33" s="44"/>
      <c r="W33" s="45"/>
    </row>
    <row r="34">
      <c r="A34" s="46" t="s">
        <v>66</v>
      </c>
      <c r="B34" s="47">
        <f t="shared" ref="B34:E34" si="10">B33+B26</f>
        <v>3146.5000110000001</v>
      </c>
      <c r="C34" s="47">
        <f t="shared" si="10"/>
        <v>3161.4000750000005</v>
      </c>
      <c r="D34" s="47">
        <f t="shared" si="10"/>
        <v>3234.9000290000004</v>
      </c>
      <c r="E34" s="47">
        <f t="shared" si="10"/>
        <v>3486.5999999999999</v>
      </c>
      <c r="F34" s="48">
        <f>F33+F26</f>
        <v>3882.6999999999998</v>
      </c>
      <c r="G34" s="47"/>
      <c r="I34" s="49"/>
      <c r="J34" s="50"/>
      <c r="K34" s="50"/>
      <c r="L34" s="50"/>
      <c r="M34" s="50"/>
      <c r="N34" s="50"/>
      <c r="O34" s="51"/>
      <c r="Q34" s="49"/>
      <c r="R34" s="50"/>
      <c r="S34" s="50"/>
      <c r="T34" s="50"/>
      <c r="U34" s="50"/>
      <c r="V34" s="50"/>
      <c r="W34" s="51"/>
    </row>
    <row r="35">
      <c r="A35" s="34" t="s">
        <v>67</v>
      </c>
      <c r="B35" s="18"/>
      <c r="C35" s="18"/>
      <c r="D35" s="18"/>
      <c r="E35" s="18"/>
      <c r="F35" s="19"/>
      <c r="G35" s="20"/>
      <c r="I35" s="49"/>
      <c r="J35" s="50"/>
      <c r="K35" s="50"/>
      <c r="L35" s="50"/>
      <c r="M35" s="50"/>
      <c r="N35" s="50"/>
      <c r="O35" s="51"/>
      <c r="Q35" s="49"/>
      <c r="R35" s="50"/>
      <c r="S35" s="50"/>
      <c r="T35" s="50"/>
      <c r="U35" s="50"/>
      <c r="V35" s="50"/>
      <c r="W35" s="51"/>
    </row>
    <row r="36">
      <c r="A36" s="17" t="s">
        <v>68</v>
      </c>
      <c r="B36" s="18">
        <v>668.60000000000002</v>
      </c>
      <c r="C36" s="18">
        <v>721.60000000000002</v>
      </c>
      <c r="D36" s="18">
        <v>660.5</v>
      </c>
      <c r="E36" s="18">
        <v>720.79999999999995</v>
      </c>
      <c r="F36" s="19">
        <v>885.89999999999998</v>
      </c>
      <c r="G36" s="20"/>
      <c r="I36" s="49"/>
      <c r="J36" s="50"/>
      <c r="K36" s="50"/>
      <c r="L36" s="50"/>
      <c r="M36" s="50"/>
      <c r="N36" s="50"/>
      <c r="O36" s="51"/>
      <c r="Q36" s="49"/>
      <c r="R36" s="50"/>
      <c r="S36" s="50"/>
      <c r="T36" s="50"/>
      <c r="U36" s="50"/>
      <c r="V36" s="50"/>
      <c r="W36" s="51"/>
    </row>
    <row r="37">
      <c r="A37" s="17" t="s">
        <v>69</v>
      </c>
      <c r="B37" s="18" t="s">
        <v>70</v>
      </c>
      <c r="C37" s="18" t="s">
        <v>70</v>
      </c>
      <c r="D37" s="18" t="s">
        <v>70</v>
      </c>
      <c r="E37" s="18">
        <v>15</v>
      </c>
      <c r="F37" s="19">
        <v>0</v>
      </c>
      <c r="G37" s="20"/>
      <c r="I37" s="49"/>
      <c r="J37" s="50"/>
      <c r="K37" s="50"/>
      <c r="L37" s="50"/>
      <c r="M37" s="50"/>
      <c r="N37" s="50"/>
      <c r="O37" s="51"/>
      <c r="Q37" s="49"/>
      <c r="R37" s="50"/>
      <c r="S37" s="50"/>
      <c r="T37" s="50"/>
      <c r="U37" s="50"/>
      <c r="V37" s="50"/>
      <c r="W37" s="51"/>
    </row>
    <row r="38">
      <c r="A38" s="17" t="s">
        <v>71</v>
      </c>
      <c r="B38" s="18">
        <v>212.89999399999999</v>
      </c>
      <c r="C38" s="18">
        <v>253.5</v>
      </c>
      <c r="D38" s="18">
        <v>231</v>
      </c>
      <c r="E38" s="18">
        <v>248.09999999999999</v>
      </c>
      <c r="F38" s="19">
        <v>311.5</v>
      </c>
      <c r="G38" s="20"/>
      <c r="I38" s="49"/>
      <c r="J38" s="50"/>
      <c r="K38" s="50"/>
      <c r="L38" s="50"/>
      <c r="M38" s="50"/>
      <c r="N38" s="50"/>
      <c r="O38" s="51"/>
      <c r="Q38" s="49"/>
      <c r="R38" s="50"/>
      <c r="S38" s="50"/>
      <c r="T38" s="50"/>
      <c r="U38" s="50"/>
      <c r="V38" s="50"/>
      <c r="W38" s="51"/>
    </row>
    <row r="39">
      <c r="A39" s="17" t="s">
        <v>72</v>
      </c>
      <c r="B39" s="18">
        <v>105.5</v>
      </c>
      <c r="C39" s="18">
        <v>109.400002</v>
      </c>
      <c r="D39" s="18">
        <v>115</v>
      </c>
      <c r="E39" s="18">
        <v>120.40000000000001</v>
      </c>
      <c r="F39" s="19">
        <v>137</v>
      </c>
      <c r="G39" s="20"/>
      <c r="I39" s="49"/>
      <c r="J39" s="50"/>
      <c r="K39" s="50"/>
      <c r="L39" s="50"/>
      <c r="M39" s="50"/>
      <c r="N39" s="50"/>
      <c r="O39" s="51"/>
      <c r="Q39" s="49"/>
      <c r="R39" s="50"/>
      <c r="S39" s="50"/>
      <c r="T39" s="50"/>
      <c r="U39" s="50"/>
      <c r="V39" s="50"/>
      <c r="W39" s="51"/>
    </row>
    <row r="40">
      <c r="A40" s="17" t="s">
        <v>73</v>
      </c>
      <c r="B40" s="18">
        <v>167.300003</v>
      </c>
      <c r="C40" s="18">
        <v>167</v>
      </c>
      <c r="D40" s="18">
        <v>174.10000600000001</v>
      </c>
      <c r="E40" s="18">
        <v>182.59999999999999</v>
      </c>
      <c r="F40" s="19">
        <v>201.19999999999999</v>
      </c>
      <c r="G40" s="20"/>
      <c r="I40" s="49"/>
      <c r="J40" s="50"/>
      <c r="K40" s="50"/>
      <c r="L40" s="50"/>
      <c r="M40" s="50"/>
      <c r="N40" s="50"/>
      <c r="O40" s="51"/>
      <c r="Q40" s="49"/>
      <c r="R40" s="50"/>
      <c r="S40" s="50"/>
      <c r="T40" s="50"/>
      <c r="U40" s="50"/>
      <c r="V40" s="50"/>
      <c r="W40" s="51"/>
    </row>
    <row r="41">
      <c r="A41" s="17" t="s">
        <v>74</v>
      </c>
      <c r="B41" s="18">
        <v>92.199996999999996</v>
      </c>
      <c r="C41" s="18">
        <v>54.799999</v>
      </c>
      <c r="D41" s="18">
        <v>4.2999999999999998</v>
      </c>
      <c r="E41" s="18">
        <v>23.899999999999999</v>
      </c>
      <c r="F41" s="19">
        <v>15.4</v>
      </c>
      <c r="G41" s="20"/>
      <c r="I41" s="49"/>
      <c r="J41" s="50"/>
      <c r="K41" s="50"/>
      <c r="L41" s="50"/>
      <c r="M41" s="50"/>
      <c r="N41" s="50"/>
      <c r="O41" s="51"/>
      <c r="Q41" s="49"/>
      <c r="R41" s="50"/>
      <c r="S41" s="50"/>
      <c r="T41" s="50"/>
      <c r="U41" s="50"/>
      <c r="V41" s="50"/>
      <c r="W41" s="51"/>
    </row>
    <row r="42">
      <c r="A42" s="17" t="s">
        <v>75</v>
      </c>
      <c r="B42" s="18">
        <v>0</v>
      </c>
      <c r="C42" s="18">
        <v>0</v>
      </c>
      <c r="D42" s="18">
        <v>0</v>
      </c>
      <c r="E42" s="18"/>
      <c r="F42" s="19"/>
      <c r="G42" s="20"/>
      <c r="I42" s="49"/>
      <c r="J42" s="50"/>
      <c r="K42" s="50"/>
      <c r="L42" s="50"/>
      <c r="M42" s="50"/>
      <c r="N42" s="50"/>
      <c r="O42" s="51"/>
      <c r="Q42" s="49"/>
      <c r="R42" s="50"/>
      <c r="S42" s="50"/>
      <c r="T42" s="50"/>
      <c r="U42" s="50"/>
      <c r="V42" s="50"/>
      <c r="W42" s="51"/>
    </row>
    <row r="43">
      <c r="A43" s="24" t="s">
        <v>76</v>
      </c>
      <c r="B43" s="38">
        <f t="shared" ref="B43:E43" si="11">SUM(B36:B41)</f>
        <v>1246.499994</v>
      </c>
      <c r="C43" s="38">
        <f t="shared" si="11"/>
        <v>1306.3000010000001</v>
      </c>
      <c r="D43" s="38">
        <f t="shared" si="11"/>
        <v>1184.9000060000001</v>
      </c>
      <c r="E43" s="38">
        <f t="shared" si="11"/>
        <v>1310.8</v>
      </c>
      <c r="F43" s="39">
        <f>SUM(F36:F41)</f>
        <v>1551.0000000000002</v>
      </c>
      <c r="G43" s="38"/>
      <c r="I43" s="49"/>
      <c r="J43" s="50"/>
      <c r="K43" s="50"/>
      <c r="L43" s="50"/>
      <c r="M43" s="50"/>
      <c r="N43" s="50"/>
      <c r="O43" s="51"/>
      <c r="Q43" s="49"/>
      <c r="R43" s="50"/>
      <c r="S43" s="50"/>
      <c r="T43" s="50"/>
      <c r="U43" s="50"/>
      <c r="V43" s="50"/>
      <c r="W43" s="51"/>
    </row>
    <row r="44">
      <c r="A44" s="34" t="s">
        <v>77</v>
      </c>
      <c r="B44" s="18"/>
      <c r="C44" s="18"/>
      <c r="D44" s="18"/>
      <c r="E44" s="18"/>
      <c r="F44" s="19"/>
      <c r="G44" s="20"/>
      <c r="I44" s="49"/>
      <c r="J44" s="50"/>
      <c r="K44" s="50"/>
      <c r="L44" s="50"/>
      <c r="M44" s="50"/>
      <c r="N44" s="50"/>
      <c r="O44" s="51"/>
      <c r="Q44" s="49"/>
      <c r="R44" s="50"/>
      <c r="S44" s="50"/>
      <c r="T44" s="50"/>
      <c r="U44" s="50"/>
      <c r="V44" s="50"/>
      <c r="W44" s="51"/>
    </row>
    <row r="45">
      <c r="A45" s="17" t="s">
        <v>69</v>
      </c>
      <c r="B45" s="18">
        <v>0</v>
      </c>
      <c r="C45" s="18">
        <v>59.400002000000001</v>
      </c>
      <c r="D45" s="18">
        <v>49.799999</v>
      </c>
      <c r="E45" s="18" t="s">
        <v>70</v>
      </c>
      <c r="F45" s="19">
        <v>0</v>
      </c>
      <c r="G45" s="20"/>
      <c r="I45" s="49"/>
      <c r="J45" s="50"/>
      <c r="K45" s="50"/>
      <c r="L45" s="50"/>
      <c r="M45" s="50"/>
      <c r="N45" s="50"/>
      <c r="O45" s="51"/>
      <c r="Q45" s="49"/>
      <c r="R45" s="50"/>
      <c r="S45" s="50"/>
      <c r="T45" s="50"/>
      <c r="U45" s="50"/>
      <c r="V45" s="50"/>
      <c r="W45" s="51"/>
    </row>
    <row r="46">
      <c r="A46" s="17" t="s">
        <v>71</v>
      </c>
      <c r="B46" s="18">
        <v>85</v>
      </c>
      <c r="C46" s="18">
        <v>94.699996999999996</v>
      </c>
      <c r="D46" s="18">
        <v>106.900002</v>
      </c>
      <c r="E46" s="18">
        <v>115</v>
      </c>
      <c r="F46" s="19">
        <v>132</v>
      </c>
      <c r="G46" s="20"/>
      <c r="I46" s="49"/>
      <c r="J46" s="50"/>
      <c r="K46" s="50"/>
      <c r="L46" s="50"/>
      <c r="M46" s="50"/>
      <c r="N46" s="50"/>
      <c r="O46" s="51"/>
      <c r="Q46" s="52"/>
      <c r="R46" s="53"/>
      <c r="S46" s="53"/>
      <c r="T46" s="53"/>
      <c r="U46" s="53"/>
      <c r="V46" s="53"/>
      <c r="W46" s="54"/>
    </row>
    <row r="47">
      <c r="A47" s="17" t="s">
        <v>72</v>
      </c>
      <c r="B47" s="18">
        <v>42.599997999999999</v>
      </c>
      <c r="C47" s="18">
        <v>42.700001</v>
      </c>
      <c r="D47" s="18">
        <v>42.5</v>
      </c>
      <c r="E47" s="18">
        <v>41.899999999999999</v>
      </c>
      <c r="F47" s="19">
        <v>46.799999999999997</v>
      </c>
      <c r="G47" s="20"/>
      <c r="I47" s="49"/>
      <c r="J47" s="50"/>
      <c r="K47" s="50"/>
      <c r="L47" s="50"/>
      <c r="M47" s="50"/>
      <c r="N47" s="50"/>
      <c r="O47" s="51"/>
      <c r="Q47" s="55"/>
      <c r="R47" s="55"/>
      <c r="S47" s="55"/>
      <c r="T47" s="55"/>
      <c r="U47" s="55"/>
      <c r="V47" s="55"/>
      <c r="W47" s="55"/>
    </row>
    <row r="48">
      <c r="A48" s="17" t="s">
        <v>78</v>
      </c>
      <c r="B48" s="18" t="s">
        <v>70</v>
      </c>
      <c r="C48" s="18" t="s">
        <v>70</v>
      </c>
      <c r="D48" s="18" t="s">
        <v>70</v>
      </c>
      <c r="E48" s="18" t="s">
        <v>70</v>
      </c>
      <c r="F48" s="19">
        <v>17.899999999999999</v>
      </c>
      <c r="G48" s="20"/>
      <c r="I48" s="49"/>
      <c r="J48" s="50"/>
      <c r="K48" s="50"/>
      <c r="L48" s="50"/>
      <c r="M48" s="50"/>
      <c r="N48" s="50"/>
      <c r="O48" s="51"/>
      <c r="Q48" s="42" t="s">
        <v>79</v>
      </c>
    </row>
    <row r="49" ht="42.950000000000003" customHeight="1">
      <c r="A49" s="17" t="s">
        <v>73</v>
      </c>
      <c r="B49" s="18">
        <v>464</v>
      </c>
      <c r="C49" s="18">
        <v>378</v>
      </c>
      <c r="D49" s="18">
        <v>431.20001200000002</v>
      </c>
      <c r="E49" s="18">
        <v>459.80000000000001</v>
      </c>
      <c r="F49" s="19">
        <v>513.20000000000005</v>
      </c>
      <c r="G49" s="20"/>
      <c r="I49" s="49"/>
      <c r="J49" s="50"/>
      <c r="K49" s="50"/>
      <c r="L49" s="50"/>
      <c r="M49" s="50"/>
      <c r="N49" s="50"/>
      <c r="O49" s="51"/>
      <c r="Q49" s="43"/>
      <c r="R49" s="44"/>
      <c r="S49" s="44"/>
      <c r="T49" s="44"/>
      <c r="U49" s="44"/>
      <c r="V49" s="44"/>
      <c r="W49" s="45"/>
    </row>
    <row r="50">
      <c r="A50" s="24" t="s">
        <v>80</v>
      </c>
      <c r="B50" s="20">
        <f t="shared" ref="B50:E50" si="12">SUM(B45:B49)</f>
        <v>591.59999800000003</v>
      </c>
      <c r="C50" s="20">
        <f t="shared" si="12"/>
        <v>574.79999999999995</v>
      </c>
      <c r="D50" s="20">
        <f t="shared" si="12"/>
        <v>630.40001299999994</v>
      </c>
      <c r="E50" s="20">
        <f t="shared" si="12"/>
        <v>616.70000000000005</v>
      </c>
      <c r="F50" s="19">
        <f>SUM(F45:F49)</f>
        <v>709.90000000000009</v>
      </c>
      <c r="G50" s="20"/>
      <c r="I50" s="52"/>
      <c r="J50" s="53"/>
      <c r="K50" s="53"/>
      <c r="L50" s="53"/>
      <c r="M50" s="53"/>
      <c r="N50" s="53"/>
      <c r="O50" s="54"/>
      <c r="Q50" s="49"/>
      <c r="R50" s="50"/>
      <c r="S50" s="50"/>
      <c r="T50" s="50"/>
      <c r="U50" s="50"/>
      <c r="V50" s="50"/>
      <c r="W50" s="51"/>
    </row>
    <row r="51">
      <c r="A51" s="24" t="s">
        <v>81</v>
      </c>
      <c r="B51" s="38">
        <f t="shared" ref="B51:E51" si="13">B50+B43</f>
        <v>1838.0999919999999</v>
      </c>
      <c r="C51" s="38">
        <f t="shared" si="13"/>
        <v>1881.100001</v>
      </c>
      <c r="D51" s="38">
        <f t="shared" si="13"/>
        <v>1815.300019</v>
      </c>
      <c r="E51" s="38">
        <f t="shared" si="13"/>
        <v>1927.5</v>
      </c>
      <c r="F51" s="39">
        <f>F50+F43</f>
        <v>2260.9000000000005</v>
      </c>
      <c r="G51" s="38"/>
      <c r="Q51" s="49"/>
      <c r="R51" s="50"/>
      <c r="S51" s="50"/>
      <c r="T51" s="50"/>
      <c r="U51" s="50"/>
      <c r="V51" s="50"/>
      <c r="W51" s="51"/>
    </row>
    <row r="52" ht="15.949999999999999" customHeight="1">
      <c r="A52" s="34" t="s">
        <v>82</v>
      </c>
      <c r="B52" s="18"/>
      <c r="C52" s="18"/>
      <c r="D52" s="18"/>
      <c r="E52" s="18"/>
      <c r="F52" s="19"/>
      <c r="G52" s="20"/>
      <c r="I52" s="42" t="s">
        <v>83</v>
      </c>
      <c r="Q52" s="49"/>
      <c r="R52" s="50"/>
      <c r="S52" s="50"/>
      <c r="T52" s="50"/>
      <c r="U52" s="50"/>
      <c r="V52" s="50"/>
      <c r="W52" s="51"/>
    </row>
    <row r="53" ht="23.100000000000001" customHeight="1">
      <c r="A53" s="17" t="s">
        <v>84</v>
      </c>
      <c r="B53" s="18">
        <v>393</v>
      </c>
      <c r="C53" s="18">
        <v>346.79998799999998</v>
      </c>
      <c r="D53" s="18">
        <v>329.29998799999998</v>
      </c>
      <c r="E53" s="18">
        <v>312.30000000000001</v>
      </c>
      <c r="F53" s="19">
        <v>291.39999999999998</v>
      </c>
      <c r="G53" s="20"/>
      <c r="I53" s="43"/>
      <c r="J53" s="44"/>
      <c r="K53" s="44"/>
      <c r="L53" s="44"/>
      <c r="M53" s="44"/>
      <c r="N53" s="44"/>
      <c r="O53" s="45"/>
      <c r="P53" s="56"/>
      <c r="Q53" s="49"/>
      <c r="R53" s="50"/>
      <c r="S53" s="50"/>
      <c r="T53" s="50"/>
      <c r="U53" s="50"/>
      <c r="V53" s="50"/>
      <c r="W53" s="51"/>
    </row>
    <row r="54">
      <c r="A54" s="17" t="s">
        <v>85</v>
      </c>
      <c r="B54" s="18">
        <v>83.800003000000004</v>
      </c>
      <c r="C54" s="18">
        <v>22.799999</v>
      </c>
      <c r="D54" s="18">
        <v>25.399999999999999</v>
      </c>
      <c r="E54" s="18">
        <v>28.5</v>
      </c>
      <c r="F54" s="19">
        <v>14.9</v>
      </c>
      <c r="G54" s="20"/>
      <c r="I54" s="49"/>
      <c r="J54" s="50"/>
      <c r="K54" s="50"/>
      <c r="L54" s="50"/>
      <c r="M54" s="50"/>
      <c r="N54" s="50"/>
      <c r="O54" s="51"/>
      <c r="P54" s="56"/>
      <c r="Q54" s="49"/>
      <c r="R54" s="50"/>
      <c r="S54" s="50"/>
      <c r="T54" s="50"/>
      <c r="U54" s="50"/>
      <c r="V54" s="50"/>
      <c r="W54" s="51"/>
    </row>
    <row r="55">
      <c r="A55" s="17" t="s">
        <v>86</v>
      </c>
      <c r="B55" s="18">
        <v>0</v>
      </c>
      <c r="C55" s="18">
        <v>0</v>
      </c>
      <c r="D55" s="18">
        <v>0</v>
      </c>
      <c r="E55" s="18">
        <v>0</v>
      </c>
      <c r="F55" s="19">
        <v>5.2000000000000002</v>
      </c>
      <c r="G55" s="20"/>
      <c r="I55" s="49"/>
      <c r="J55" s="50"/>
      <c r="K55" s="50"/>
      <c r="L55" s="50"/>
      <c r="M55" s="50"/>
      <c r="N55" s="50"/>
      <c r="O55" s="51"/>
      <c r="P55" s="56"/>
      <c r="Q55" s="49"/>
      <c r="R55" s="50"/>
      <c r="S55" s="50"/>
      <c r="T55" s="50"/>
      <c r="U55" s="50"/>
      <c r="V55" s="50"/>
      <c r="W55" s="51"/>
    </row>
    <row r="56">
      <c r="A56" s="17" t="s">
        <v>87</v>
      </c>
      <c r="B56" s="18">
        <v>831.59997599999997</v>
      </c>
      <c r="C56" s="18">
        <v>910.70001200000002</v>
      </c>
      <c r="D56" s="18">
        <v>1064.900024</v>
      </c>
      <c r="E56" s="18">
        <v>1218.3</v>
      </c>
      <c r="F56" s="19">
        <v>1310.3</v>
      </c>
      <c r="G56" s="20"/>
      <c r="I56" s="49"/>
      <c r="J56" s="50"/>
      <c r="K56" s="50"/>
      <c r="L56" s="50"/>
      <c r="M56" s="50"/>
      <c r="N56" s="50"/>
      <c r="O56" s="51"/>
      <c r="P56" s="56"/>
      <c r="Q56" s="49"/>
      <c r="R56" s="50"/>
      <c r="S56" s="50"/>
      <c r="T56" s="50"/>
      <c r="U56" s="50"/>
      <c r="V56" s="50"/>
      <c r="W56" s="51"/>
    </row>
    <row r="57">
      <c r="A57" s="24" t="s">
        <v>88</v>
      </c>
      <c r="B57" s="38">
        <f t="shared" ref="B57:E57" si="14">SUM(B53:B56)</f>
        <v>1308.399979</v>
      </c>
      <c r="C57" s="38">
        <f t="shared" si="14"/>
        <v>1280.2999990000001</v>
      </c>
      <c r="D57" s="38">
        <f t="shared" si="14"/>
        <v>1419.6000119999999</v>
      </c>
      <c r="E57" s="38">
        <f t="shared" si="14"/>
        <v>1559.0999999999999</v>
      </c>
      <c r="F57" s="39">
        <f>SUM(F53:F56)</f>
        <v>1621.8</v>
      </c>
      <c r="G57" s="38"/>
      <c r="I57" s="49"/>
      <c r="J57" s="50"/>
      <c r="K57" s="50"/>
      <c r="L57" s="50"/>
      <c r="M57" s="50"/>
      <c r="N57" s="50"/>
      <c r="O57" s="51"/>
      <c r="Q57" s="49"/>
      <c r="R57" s="50"/>
      <c r="S57" s="50"/>
      <c r="T57" s="50"/>
      <c r="U57" s="50"/>
      <c r="V57" s="50"/>
      <c r="W57" s="51"/>
    </row>
    <row r="58" ht="16.5">
      <c r="A58" s="57" t="s">
        <v>89</v>
      </c>
      <c r="B58" s="58">
        <f t="shared" ref="B58:E58" si="15">B57+B51</f>
        <v>3146.4999710000002</v>
      </c>
      <c r="C58" s="58">
        <f t="shared" si="15"/>
        <v>3161.4000000000001</v>
      </c>
      <c r="D58" s="58">
        <f t="shared" si="15"/>
        <v>3234.9000310000001</v>
      </c>
      <c r="E58" s="58">
        <f t="shared" si="15"/>
        <v>3486.5999999999999</v>
      </c>
      <c r="F58" s="59">
        <f>F57+F51</f>
        <v>3882.7000000000007</v>
      </c>
      <c r="G58" s="47"/>
      <c r="I58" s="49"/>
      <c r="J58" s="50"/>
      <c r="K58" s="50"/>
      <c r="L58" s="50"/>
      <c r="M58" s="50"/>
      <c r="N58" s="50"/>
      <c r="O58" s="51"/>
      <c r="Q58" s="49"/>
      <c r="R58" s="50"/>
      <c r="S58" s="50"/>
      <c r="T58" s="50"/>
      <c r="U58" s="50"/>
      <c r="V58" s="50"/>
      <c r="W58" s="51"/>
    </row>
    <row r="59">
      <c r="I59" s="49"/>
      <c r="J59" s="50"/>
      <c r="K59" s="50"/>
      <c r="L59" s="50"/>
      <c r="M59" s="50"/>
      <c r="N59" s="50"/>
      <c r="O59" s="51"/>
      <c r="Q59" s="52"/>
      <c r="R59" s="53"/>
      <c r="S59" s="53"/>
      <c r="T59" s="53"/>
      <c r="U59" s="53"/>
      <c r="V59" s="53"/>
      <c r="W59" s="54"/>
    </row>
    <row r="60">
      <c r="B60" s="20"/>
      <c r="C60" s="20"/>
      <c r="D60" s="20"/>
      <c r="E60" s="20"/>
      <c r="F60" s="20"/>
      <c r="G60" s="20"/>
      <c r="I60" s="49"/>
      <c r="J60" s="50"/>
      <c r="K60" s="50"/>
      <c r="L60" s="50"/>
      <c r="M60" s="50"/>
      <c r="N60" s="50"/>
      <c r="O60" s="51"/>
      <c r="Q60" s="50"/>
      <c r="R60" s="50"/>
      <c r="S60" s="50"/>
      <c r="T60" s="50"/>
      <c r="U60" s="50"/>
      <c r="V60" s="50"/>
      <c r="W60" s="50"/>
    </row>
    <row r="61">
      <c r="I61" s="49"/>
      <c r="J61" s="50"/>
      <c r="K61" s="50"/>
      <c r="L61" s="50"/>
      <c r="M61" s="50"/>
      <c r="N61" s="50"/>
      <c r="O61" s="51"/>
      <c r="Q61" s="50"/>
      <c r="R61" s="50"/>
      <c r="S61" s="50"/>
      <c r="T61" s="50"/>
      <c r="U61" s="50"/>
      <c r="V61" s="50"/>
      <c r="W61" s="50"/>
    </row>
    <row r="62">
      <c r="I62" s="49"/>
      <c r="J62" s="50"/>
      <c r="K62" s="50"/>
      <c r="L62" s="50"/>
      <c r="M62" s="50"/>
      <c r="N62" s="50"/>
      <c r="O62" s="51"/>
      <c r="Q62" s="60" t="s">
        <v>90</v>
      </c>
      <c r="R62" s="55"/>
      <c r="S62" s="55"/>
      <c r="T62" s="55"/>
      <c r="U62" s="55"/>
      <c r="V62" s="55"/>
      <c r="W62" s="55"/>
    </row>
    <row r="63" ht="30.949999999999999" customHeight="1">
      <c r="I63" s="49"/>
      <c r="J63" s="50"/>
      <c r="K63" s="50"/>
      <c r="L63" s="50"/>
      <c r="M63" s="50"/>
      <c r="N63" s="50"/>
      <c r="O63" s="51"/>
      <c r="Q63" s="43"/>
      <c r="R63" s="44"/>
      <c r="S63" s="44"/>
      <c r="T63" s="44"/>
      <c r="U63" s="44"/>
      <c r="V63" s="44"/>
      <c r="W63" s="45"/>
    </row>
    <row r="64">
      <c r="I64" s="49"/>
      <c r="J64" s="50"/>
      <c r="K64" s="50"/>
      <c r="L64" s="50"/>
      <c r="M64" s="50"/>
      <c r="N64" s="50"/>
      <c r="O64" s="51"/>
      <c r="Q64" s="49"/>
      <c r="R64" s="50"/>
      <c r="S64" s="50"/>
      <c r="T64" s="50"/>
      <c r="U64" s="50"/>
      <c r="V64" s="50"/>
      <c r="W64" s="51"/>
    </row>
    <row r="65">
      <c r="I65" s="49"/>
      <c r="J65" s="50"/>
      <c r="K65" s="50"/>
      <c r="L65" s="50"/>
      <c r="M65" s="50"/>
      <c r="N65" s="50"/>
      <c r="O65" s="51"/>
      <c r="Q65" s="49"/>
      <c r="R65" s="50"/>
      <c r="S65" s="50"/>
      <c r="T65" s="50"/>
      <c r="U65" s="50"/>
      <c r="V65" s="50"/>
      <c r="W65" s="51"/>
    </row>
    <row r="66">
      <c r="I66" s="49"/>
      <c r="J66" s="50"/>
      <c r="K66" s="50"/>
      <c r="L66" s="50"/>
      <c r="M66" s="50"/>
      <c r="N66" s="50"/>
      <c r="O66" s="51"/>
      <c r="Q66" s="49"/>
      <c r="R66" s="50"/>
      <c r="S66" s="50"/>
      <c r="T66" s="50"/>
      <c r="U66" s="50"/>
      <c r="V66" s="50"/>
      <c r="W66" s="51"/>
    </row>
    <row r="67" ht="15.949999999999999" customHeight="1">
      <c r="I67" s="49"/>
      <c r="J67" s="50"/>
      <c r="K67" s="50"/>
      <c r="L67" s="50"/>
      <c r="M67" s="50"/>
      <c r="N67" s="50"/>
      <c r="O67" s="51"/>
      <c r="Q67" s="49"/>
      <c r="R67" s="50"/>
      <c r="S67" s="50"/>
      <c r="T67" s="50"/>
      <c r="U67" s="50"/>
      <c r="V67" s="50"/>
      <c r="W67" s="51"/>
    </row>
    <row r="68">
      <c r="I68" s="49"/>
      <c r="J68" s="50"/>
      <c r="K68" s="50"/>
      <c r="L68" s="50"/>
      <c r="M68" s="50"/>
      <c r="N68" s="50"/>
      <c r="O68" s="51"/>
      <c r="Q68" s="49"/>
      <c r="R68" s="50"/>
      <c r="S68" s="50"/>
      <c r="T68" s="50"/>
      <c r="U68" s="50"/>
      <c r="V68" s="50"/>
      <c r="W68" s="51"/>
    </row>
    <row r="69">
      <c r="I69" s="49"/>
      <c r="J69" s="50"/>
      <c r="K69" s="50"/>
      <c r="L69" s="50"/>
      <c r="M69" s="50"/>
      <c r="N69" s="50"/>
      <c r="O69" s="51"/>
      <c r="Q69" s="49"/>
      <c r="R69" s="50"/>
      <c r="S69" s="50"/>
      <c r="T69" s="50"/>
      <c r="U69" s="50"/>
      <c r="V69" s="50"/>
      <c r="W69" s="51"/>
    </row>
    <row r="70">
      <c r="I70" s="49"/>
      <c r="J70" s="50"/>
      <c r="K70" s="50"/>
      <c r="L70" s="50"/>
      <c r="M70" s="50"/>
      <c r="N70" s="50"/>
      <c r="O70" s="51"/>
      <c r="Q70" s="49"/>
      <c r="R70" s="50"/>
      <c r="S70" s="50"/>
      <c r="T70" s="50"/>
      <c r="U70" s="50"/>
      <c r="V70" s="50"/>
      <c r="W70" s="51"/>
    </row>
    <row r="71">
      <c r="I71" s="49"/>
      <c r="J71" s="50"/>
      <c r="K71" s="50"/>
      <c r="L71" s="50"/>
      <c r="M71" s="50"/>
      <c r="N71" s="50"/>
      <c r="O71" s="51"/>
      <c r="Q71" s="49"/>
      <c r="R71" s="50"/>
      <c r="S71" s="50"/>
      <c r="T71" s="50"/>
      <c r="U71" s="50"/>
      <c r="V71" s="50"/>
      <c r="W71" s="51"/>
    </row>
    <row r="72">
      <c r="I72" s="49"/>
      <c r="J72" s="50"/>
      <c r="K72" s="50"/>
      <c r="L72" s="50"/>
      <c r="M72" s="50"/>
      <c r="N72" s="50"/>
      <c r="O72" s="51"/>
      <c r="Q72" s="52"/>
      <c r="R72" s="53"/>
      <c r="S72" s="53"/>
      <c r="T72" s="53"/>
      <c r="U72" s="53"/>
      <c r="V72" s="53"/>
      <c r="W72" s="54"/>
    </row>
    <row r="73">
      <c r="I73" s="49"/>
      <c r="J73" s="50"/>
      <c r="K73" s="50"/>
      <c r="L73" s="50"/>
      <c r="M73" s="50"/>
      <c r="N73" s="50"/>
      <c r="O73" s="51"/>
    </row>
    <row r="74">
      <c r="I74" s="49"/>
      <c r="J74" s="50"/>
      <c r="K74" s="50"/>
      <c r="L74" s="50"/>
      <c r="M74" s="50"/>
      <c r="N74" s="50"/>
      <c r="O74" s="51"/>
    </row>
    <row r="75">
      <c r="I75" s="49"/>
      <c r="J75" s="50"/>
      <c r="K75" s="50"/>
      <c r="L75" s="50"/>
      <c r="M75" s="50"/>
      <c r="N75" s="50"/>
      <c r="O75" s="51"/>
    </row>
    <row r="76">
      <c r="I76" s="52"/>
      <c r="J76" s="53"/>
      <c r="K76" s="53"/>
      <c r="L76" s="53"/>
      <c r="M76" s="53"/>
      <c r="N76" s="53"/>
      <c r="O76" s="54"/>
    </row>
    <row r="91">
      <c r="I91" s="42"/>
    </row>
    <row r="92">
      <c r="I92" s="61"/>
      <c r="J92" s="61"/>
      <c r="K92" s="61"/>
      <c r="L92" s="61"/>
      <c r="M92" s="61"/>
      <c r="N92" s="61"/>
      <c r="O92" s="61"/>
    </row>
    <row r="93">
      <c r="I93" s="61"/>
      <c r="J93" s="61"/>
      <c r="K93" s="61"/>
      <c r="L93" s="61"/>
      <c r="M93" s="61"/>
      <c r="N93" s="61"/>
      <c r="O93" s="61"/>
    </row>
    <row r="94">
      <c r="I94" s="61"/>
      <c r="J94" s="61"/>
      <c r="K94" s="61"/>
      <c r="L94" s="61"/>
      <c r="M94" s="61"/>
      <c r="N94" s="61"/>
      <c r="O94" s="61"/>
    </row>
    <row r="95">
      <c r="I95" s="61"/>
      <c r="J95" s="61"/>
      <c r="K95" s="61"/>
      <c r="L95" s="61"/>
      <c r="M95" s="61"/>
      <c r="N95" s="61"/>
      <c r="O95" s="61"/>
    </row>
    <row r="96">
      <c r="I96" s="61"/>
      <c r="J96" s="61"/>
      <c r="K96" s="61"/>
      <c r="L96" s="61"/>
      <c r="M96" s="61"/>
      <c r="N96" s="61"/>
      <c r="O96" s="61"/>
    </row>
  </sheetData>
  <mergeCells count="9">
    <mergeCell ref="I3:O3"/>
    <mergeCell ref="I9:O9"/>
    <mergeCell ref="I18:O18"/>
    <mergeCell ref="I22:O22"/>
    <mergeCell ref="I33:O50"/>
    <mergeCell ref="Q33:W46"/>
    <mergeCell ref="Q49:W59"/>
    <mergeCell ref="I53:O76"/>
    <mergeCell ref="Q63:W7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78" zoomScale="100" workbookViewId="0">
      <selection activeCell="B51" activeCellId="0" sqref="B51"/>
    </sheetView>
  </sheetViews>
  <sheetFormatPr defaultColWidth="8.875" defaultRowHeight="16.5"/>
  <cols>
    <col min="1" max="1" style="62" width="8.875"/>
    <col customWidth="1" min="2" max="2" style="62" width="39.875"/>
    <col min="3" max="16384" style="62" width="8.875"/>
  </cols>
  <sheetData>
    <row r="2" ht="117" customHeight="1">
      <c r="B2" s="63" t="s">
        <v>91</v>
      </c>
      <c r="C2" s="64"/>
      <c r="D2" s="64"/>
      <c r="E2" s="65"/>
    </row>
    <row r="4" ht="16.5">
      <c r="B4" s="66" t="s">
        <v>92</v>
      </c>
    </row>
    <row r="5">
      <c r="B5" s="67"/>
      <c r="C5" s="68">
        <v>2021</v>
      </c>
      <c r="D5" s="68">
        <v>2022</v>
      </c>
      <c r="E5" s="69">
        <v>2023</v>
      </c>
    </row>
    <row r="6">
      <c r="B6" s="70" t="s">
        <v>93</v>
      </c>
      <c r="C6" s="71">
        <v>5000</v>
      </c>
      <c r="D6" s="71">
        <v>6200</v>
      </c>
      <c r="E6" s="72">
        <v>7800</v>
      </c>
    </row>
    <row r="7">
      <c r="B7" s="70" t="s">
        <v>94</v>
      </c>
      <c r="C7" s="71">
        <v>3000</v>
      </c>
      <c r="D7" s="71">
        <v>4000</v>
      </c>
      <c r="E7" s="72">
        <v>5500</v>
      </c>
    </row>
    <row r="8">
      <c r="B8" s="73" t="s">
        <v>95</v>
      </c>
      <c r="C8" s="74">
        <f>C6-C7</f>
        <v>2000</v>
      </c>
      <c r="D8" s="74">
        <f t="shared" ref="D8:E8" si="16">D6-D7</f>
        <v>2200</v>
      </c>
      <c r="E8" s="75">
        <f t="shared" si="16"/>
        <v>2300</v>
      </c>
    </row>
    <row r="9">
      <c r="B9" s="70" t="s">
        <v>96</v>
      </c>
      <c r="C9" s="76"/>
      <c r="D9" s="76"/>
      <c r="E9" s="77"/>
    </row>
    <row r="10">
      <c r="B10" s="70" t="s">
        <v>97</v>
      </c>
      <c r="C10" s="76">
        <v>600</v>
      </c>
      <c r="D10" s="76">
        <v>650</v>
      </c>
      <c r="E10" s="77">
        <v>700</v>
      </c>
    </row>
    <row r="11">
      <c r="B11" s="70" t="s">
        <v>98</v>
      </c>
      <c r="C11" s="76">
        <v>300</v>
      </c>
      <c r="D11" s="76">
        <v>350</v>
      </c>
      <c r="E11" s="77">
        <v>400</v>
      </c>
    </row>
    <row r="12">
      <c r="B12" s="70" t="s">
        <v>99</v>
      </c>
      <c r="C12" s="76">
        <v>150</v>
      </c>
      <c r="D12" s="76">
        <v>180</v>
      </c>
      <c r="E12" s="77">
        <v>200</v>
      </c>
    </row>
    <row r="13">
      <c r="B13" s="70" t="s">
        <v>100</v>
      </c>
      <c r="C13" s="76">
        <v>200</v>
      </c>
      <c r="D13" s="76">
        <v>250</v>
      </c>
      <c r="E13" s="77">
        <v>350</v>
      </c>
    </row>
    <row r="14">
      <c r="B14" s="70" t="s">
        <v>101</v>
      </c>
      <c r="C14" s="76">
        <v>50</v>
      </c>
      <c r="D14" s="76">
        <v>60</v>
      </c>
      <c r="E14" s="77">
        <v>70</v>
      </c>
    </row>
    <row r="15">
      <c r="B15" s="70" t="s">
        <v>102</v>
      </c>
      <c r="C15" s="76">
        <v>200</v>
      </c>
      <c r="D15" s="76">
        <v>210</v>
      </c>
      <c r="E15" s="77">
        <v>220</v>
      </c>
    </row>
    <row r="16">
      <c r="B16" s="73" t="s">
        <v>103</v>
      </c>
      <c r="C16" s="74">
        <f>SUM(C10:C15)</f>
        <v>1500</v>
      </c>
      <c r="D16" s="74">
        <f t="shared" ref="D16:E16" si="17">SUM(D10:D15)</f>
        <v>1700</v>
      </c>
      <c r="E16" s="75">
        <f t="shared" si="17"/>
        <v>1940</v>
      </c>
    </row>
    <row r="17" ht="16.5">
      <c r="B17" s="78" t="s">
        <v>104</v>
      </c>
      <c r="C17" s="79">
        <f>C8-C16</f>
        <v>500</v>
      </c>
      <c r="D17" s="79">
        <f>D8-D16</f>
        <v>500</v>
      </c>
      <c r="E17" s="80">
        <f>E8-E16</f>
        <v>360</v>
      </c>
    </row>
    <row r="19" ht="16.5">
      <c r="B19" s="66" t="s">
        <v>105</v>
      </c>
    </row>
    <row r="20">
      <c r="B20" s="67"/>
      <c r="C20" s="68">
        <v>2021</v>
      </c>
      <c r="D20" s="68">
        <v>2022</v>
      </c>
      <c r="E20" s="69">
        <v>2023</v>
      </c>
    </row>
    <row r="21">
      <c r="B21" s="73" t="s">
        <v>106</v>
      </c>
      <c r="C21" s="76"/>
      <c r="D21" s="76"/>
      <c r="E21" s="77"/>
    </row>
    <row r="22">
      <c r="B22" s="70" t="s">
        <v>107</v>
      </c>
      <c r="C22" s="71">
        <v>1000</v>
      </c>
      <c r="D22" s="71">
        <v>1200</v>
      </c>
      <c r="E22" s="72">
        <v>1500</v>
      </c>
    </row>
    <row r="23">
      <c r="B23" s="70" t="s">
        <v>108</v>
      </c>
      <c r="C23" s="76">
        <v>800</v>
      </c>
      <c r="D23" s="76">
        <v>900</v>
      </c>
      <c r="E23" s="72">
        <v>1100</v>
      </c>
    </row>
    <row r="24">
      <c r="B24" s="70" t="s">
        <v>109</v>
      </c>
      <c r="C24" s="71">
        <v>1500</v>
      </c>
      <c r="D24" s="71">
        <v>1700</v>
      </c>
      <c r="E24" s="72">
        <v>1800</v>
      </c>
    </row>
    <row r="25">
      <c r="B25" s="73" t="s">
        <v>110</v>
      </c>
      <c r="C25" s="74">
        <f>SUM(C22:C24)</f>
        <v>3300</v>
      </c>
      <c r="D25" s="74">
        <f t="shared" ref="D25:E30" si="18">SUM(D22:D24)</f>
        <v>3800</v>
      </c>
      <c r="E25" s="75">
        <f t="shared" si="18"/>
        <v>4400</v>
      </c>
    </row>
    <row r="26">
      <c r="B26" s="73" t="s">
        <v>111</v>
      </c>
      <c r="C26" s="76"/>
      <c r="D26" s="76"/>
      <c r="E26" s="77"/>
    </row>
    <row r="27">
      <c r="B27" s="70" t="s">
        <v>112</v>
      </c>
      <c r="C27" s="76">
        <v>700</v>
      </c>
      <c r="D27" s="76">
        <v>800</v>
      </c>
      <c r="E27" s="77">
        <v>900</v>
      </c>
    </row>
    <row r="28">
      <c r="B28" s="70" t="s">
        <v>113</v>
      </c>
      <c r="C28" s="71">
        <v>1000</v>
      </c>
      <c r="D28" s="71">
        <v>1000</v>
      </c>
      <c r="E28" s="72">
        <v>1000</v>
      </c>
    </row>
    <row r="29">
      <c r="B29" s="73" t="s">
        <v>114</v>
      </c>
      <c r="C29" s="74">
        <v>1600</v>
      </c>
      <c r="D29" s="74">
        <v>2000</v>
      </c>
      <c r="E29" s="75">
        <v>2500</v>
      </c>
    </row>
    <row r="30" ht="16.5">
      <c r="B30" s="78" t="s">
        <v>115</v>
      </c>
      <c r="C30" s="79">
        <f>SUM(C27:C29)</f>
        <v>3300</v>
      </c>
      <c r="D30" s="79">
        <f t="shared" si="18"/>
        <v>3800</v>
      </c>
      <c r="E30" s="80">
        <f t="shared" si="18"/>
        <v>4400</v>
      </c>
    </row>
    <row r="32" ht="16.5">
      <c r="B32" s="81" t="s">
        <v>116</v>
      </c>
      <c r="C32" s="82"/>
      <c r="D32" s="82"/>
      <c r="E32" s="82"/>
    </row>
    <row r="33">
      <c r="B33" s="67"/>
      <c r="C33" s="68">
        <v>2021</v>
      </c>
      <c r="D33" s="68">
        <v>2022</v>
      </c>
      <c r="E33" s="69">
        <v>2023</v>
      </c>
    </row>
    <row r="34">
      <c r="B34" s="73" t="s">
        <v>117</v>
      </c>
      <c r="C34" s="76"/>
      <c r="D34" s="76"/>
      <c r="E34" s="77"/>
    </row>
    <row r="35">
      <c r="B35" s="70" t="s">
        <v>118</v>
      </c>
      <c r="C35" s="83">
        <v>500</v>
      </c>
      <c r="D35" s="83">
        <v>750</v>
      </c>
      <c r="E35" s="84">
        <v>1100</v>
      </c>
    </row>
    <row r="36">
      <c r="B36" s="70" t="s">
        <v>119</v>
      </c>
      <c r="C36" s="83">
        <v>600</v>
      </c>
      <c r="D36" s="83">
        <v>870</v>
      </c>
      <c r="E36" s="84">
        <v>1150</v>
      </c>
    </row>
    <row r="37">
      <c r="B37" s="70" t="s">
        <v>95</v>
      </c>
      <c r="C37" s="83">
        <f>C35-C36</f>
        <v>-100</v>
      </c>
      <c r="D37" s="83">
        <f t="shared" ref="D37:E37" si="19">D35-D36</f>
        <v>-120</v>
      </c>
      <c r="E37" s="84">
        <f t="shared" si="19"/>
        <v>-50</v>
      </c>
    </row>
    <row r="38">
      <c r="B38" s="70"/>
      <c r="C38" s="83"/>
      <c r="D38" s="83"/>
      <c r="E38" s="84"/>
    </row>
    <row r="39">
      <c r="B39" s="73" t="s">
        <v>120</v>
      </c>
      <c r="C39" s="76"/>
      <c r="D39" s="76"/>
      <c r="E39" s="77"/>
    </row>
    <row r="40">
      <c r="B40" s="70" t="s">
        <v>118</v>
      </c>
      <c r="C40" s="83">
        <v>1500</v>
      </c>
      <c r="D40" s="83">
        <v>1750</v>
      </c>
      <c r="E40" s="84">
        <v>1800</v>
      </c>
    </row>
    <row r="41">
      <c r="B41" s="70" t="s">
        <v>119</v>
      </c>
      <c r="C41" s="83">
        <f>C7-C36-C46</f>
        <v>600</v>
      </c>
      <c r="D41" s="83">
        <f t="shared" ref="D41:E41" si="20">D7-D36-D46</f>
        <v>910</v>
      </c>
      <c r="E41" s="84">
        <f t="shared" si="20"/>
        <v>1410</v>
      </c>
    </row>
    <row r="42">
      <c r="B42" s="70" t="s">
        <v>95</v>
      </c>
      <c r="C42" s="83">
        <f>C40-C41</f>
        <v>900</v>
      </c>
      <c r="D42" s="83">
        <f t="shared" ref="D42:E42" si="21">D40-D41</f>
        <v>840</v>
      </c>
      <c r="E42" s="84">
        <f t="shared" si="21"/>
        <v>390</v>
      </c>
    </row>
    <row r="43">
      <c r="B43" s="70"/>
      <c r="C43" s="83"/>
      <c r="D43" s="83"/>
      <c r="E43" s="84"/>
    </row>
    <row r="44">
      <c r="B44" s="73" t="s">
        <v>121</v>
      </c>
      <c r="C44" s="76"/>
      <c r="D44" s="76"/>
      <c r="E44" s="77"/>
    </row>
    <row r="45">
      <c r="B45" s="70" t="s">
        <v>118</v>
      </c>
      <c r="C45" s="83">
        <f>C6-C40-C35</f>
        <v>3000</v>
      </c>
      <c r="D45" s="83">
        <f t="shared" ref="D45:E45" si="22">D6-D40-D35</f>
        <v>3700</v>
      </c>
      <c r="E45" s="84">
        <f t="shared" si="22"/>
        <v>4900</v>
      </c>
    </row>
    <row r="46">
      <c r="B46" s="70" t="s">
        <v>119</v>
      </c>
      <c r="C46" s="83">
        <f>C45*0.6</f>
        <v>1800</v>
      </c>
      <c r="D46" s="83">
        <f>D45*0.6</f>
        <v>2220</v>
      </c>
      <c r="E46" s="84">
        <f>E45*0.6</f>
        <v>2940</v>
      </c>
    </row>
    <row r="47" ht="16.5">
      <c r="B47" s="85" t="s">
        <v>95</v>
      </c>
      <c r="C47" s="86">
        <f>C45-C46</f>
        <v>1200</v>
      </c>
      <c r="D47" s="86">
        <f t="shared" ref="D47:E47" si="23">D45-D46</f>
        <v>1480</v>
      </c>
      <c r="E47" s="87">
        <f t="shared" si="23"/>
        <v>1960</v>
      </c>
    </row>
    <row r="49">
      <c r="B49" s="88" t="s">
        <v>122</v>
      </c>
    </row>
    <row r="51">
      <c r="A51" s="89">
        <v>1</v>
      </c>
      <c r="B51" s="90" t="s">
        <v>123</v>
      </c>
    </row>
    <row r="53" ht="14.25" customHeight="1">
      <c r="B53" s="91"/>
      <c r="C53" s="92">
        <v>2021</v>
      </c>
      <c r="D53" s="92">
        <v>2022</v>
      </c>
      <c r="E53" s="92">
        <v>2023</v>
      </c>
    </row>
    <row r="54" ht="23.25" customHeight="1">
      <c r="B54" s="93" t="s">
        <v>124</v>
      </c>
      <c r="C54" s="94">
        <f>C8/C6</f>
        <v>0.40000000000000002</v>
      </c>
      <c r="D54" s="94">
        <f>D8/D6</f>
        <v>0.35483870967741937</v>
      </c>
      <c r="E54" s="94">
        <f>E8/E6</f>
        <v>0.29487179487179488</v>
      </c>
    </row>
    <row r="55">
      <c r="B55" s="93" t="s">
        <v>13</v>
      </c>
      <c r="C55" s="94">
        <f>C17/C6</f>
        <v>0.10000000000000001</v>
      </c>
      <c r="D55" s="94">
        <f>D17/D6</f>
        <v>0.080645161290322578</v>
      </c>
      <c r="E55" s="94">
        <f>E17/E6</f>
        <v>0.046153846153846156</v>
      </c>
    </row>
    <row r="57">
      <c r="B57" s="90" t="s">
        <v>125</v>
      </c>
      <c r="C57" s="95" t="s">
        <v>126</v>
      </c>
    </row>
    <row r="59" ht="55.5" customHeight="1">
      <c r="A59" s="89">
        <v>2</v>
      </c>
      <c r="B59" s="96" t="s">
        <v>127</v>
      </c>
      <c r="C59" s="96"/>
      <c r="D59" s="96"/>
      <c r="E59" s="96"/>
      <c r="F59" s="96"/>
    </row>
    <row r="60" ht="21" customHeight="1">
      <c r="B60" s="97"/>
      <c r="D60" s="62" t="s">
        <v>128</v>
      </c>
      <c r="E60" s="62" t="s">
        <v>129</v>
      </c>
      <c r="F60" s="62" t="s">
        <v>130</v>
      </c>
    </row>
    <row r="61" ht="19.5" customHeight="1">
      <c r="B61" s="98" t="s">
        <v>131</v>
      </c>
      <c r="C61" s="99"/>
      <c r="D61" s="99">
        <v>2022</v>
      </c>
      <c r="E61" s="100">
        <v>2023</v>
      </c>
    </row>
    <row r="62" ht="19.5" customHeight="1">
      <c r="B62" s="101" t="s">
        <v>93</v>
      </c>
      <c r="C62" s="102"/>
      <c r="D62" s="103">
        <f t="shared" ref="D62:D63" si="24">(D6-C6)/C6</f>
        <v>0.23999999999999999</v>
      </c>
      <c r="E62" s="104">
        <f t="shared" ref="E62:E63" si="25">(E6-D6)/D6</f>
        <v>0.25806451612903225</v>
      </c>
      <c r="F62" s="105">
        <f>E6/C6-1</f>
        <v>0.56000000000000005</v>
      </c>
    </row>
    <row r="63" ht="19.5" customHeight="1">
      <c r="B63" s="101" t="s">
        <v>94</v>
      </c>
      <c r="C63" s="102"/>
      <c r="D63" s="103">
        <f t="shared" si="24"/>
        <v>0.33333333333333331</v>
      </c>
      <c r="E63" s="104">
        <f t="shared" si="25"/>
        <v>0.375</v>
      </c>
      <c r="F63" s="105">
        <f>E7/C7-1</f>
        <v>0.83333333333333326</v>
      </c>
    </row>
    <row r="64" ht="18" customHeight="1">
      <c r="B64" s="101" t="s">
        <v>97</v>
      </c>
      <c r="C64" s="102"/>
      <c r="D64" s="103">
        <f t="shared" ref="D64:D69" si="26">(D10-C10)/C10</f>
        <v>0.083333333333333329</v>
      </c>
      <c r="E64" s="104">
        <f t="shared" ref="E64:E69" si="27">(E10-D10)/D10</f>
        <v>0.076923076923076927</v>
      </c>
      <c r="F64" s="105">
        <f>E10/C10-1</f>
        <v>0.16666666666666674</v>
      </c>
    </row>
    <row r="65">
      <c r="B65" s="101" t="s">
        <v>98</v>
      </c>
      <c r="C65" s="102"/>
      <c r="D65" s="103">
        <f t="shared" si="26"/>
        <v>0.16666666666666666</v>
      </c>
      <c r="E65" s="104">
        <f t="shared" si="27"/>
        <v>0.14285714285714285</v>
      </c>
      <c r="F65" s="105">
        <f>E11/C11-1</f>
        <v>0.33333333333333326</v>
      </c>
    </row>
    <row r="66">
      <c r="B66" s="101" t="s">
        <v>99</v>
      </c>
      <c r="C66" s="102"/>
      <c r="D66" s="103">
        <f t="shared" si="26"/>
        <v>0.20000000000000001</v>
      </c>
      <c r="E66" s="104">
        <f t="shared" si="27"/>
        <v>0.1111111111111111</v>
      </c>
      <c r="F66" s="105">
        <f>E12/C12-1</f>
        <v>0.33333333333333326</v>
      </c>
    </row>
    <row r="67">
      <c r="B67" s="101" t="s">
        <v>100</v>
      </c>
      <c r="C67" s="102"/>
      <c r="D67" s="103">
        <f t="shared" si="26"/>
        <v>0.25</v>
      </c>
      <c r="E67" s="104">
        <f t="shared" si="27"/>
        <v>0.40000000000000002</v>
      </c>
      <c r="F67" s="105">
        <f>E13/C13-1</f>
        <v>0.75</v>
      </c>
    </row>
    <row r="68">
      <c r="B68" s="101" t="s">
        <v>101</v>
      </c>
      <c r="C68" s="102"/>
      <c r="D68" s="103">
        <f t="shared" si="26"/>
        <v>0.20000000000000001</v>
      </c>
      <c r="E68" s="104">
        <f t="shared" si="27"/>
        <v>0.16666666666666666</v>
      </c>
      <c r="F68" s="105">
        <f>E14/C14-1</f>
        <v>0.39999999999999991</v>
      </c>
    </row>
    <row r="69" ht="16.5">
      <c r="B69" s="106" t="s">
        <v>102</v>
      </c>
      <c r="C69" s="107"/>
      <c r="D69" s="108">
        <f t="shared" si="26"/>
        <v>0.050000000000000003</v>
      </c>
      <c r="E69" s="109">
        <f t="shared" si="27"/>
        <v>0.047619047619047616</v>
      </c>
      <c r="F69" s="105">
        <f>E15/C15-1</f>
        <v>0.10000000000000009</v>
      </c>
    </row>
    <row r="70">
      <c r="B70" s="110"/>
      <c r="D70" s="111"/>
    </row>
    <row r="71">
      <c r="B71" s="90" t="s">
        <v>132</v>
      </c>
    </row>
    <row r="72" ht="48.75" customHeight="1">
      <c r="B72" s="112" t="s">
        <v>133</v>
      </c>
      <c r="C72" s="113"/>
      <c r="D72" s="113"/>
      <c r="E72" s="114"/>
    </row>
    <row r="73">
      <c r="B73" s="110"/>
      <c r="D73" s="115"/>
    </row>
    <row r="75">
      <c r="A75" s="116">
        <v>3</v>
      </c>
      <c r="B75" s="90" t="s">
        <v>134</v>
      </c>
    </row>
    <row r="76">
      <c r="B76" s="93"/>
      <c r="C76" s="92">
        <v>2021</v>
      </c>
      <c r="D76" s="92">
        <v>2022</v>
      </c>
      <c r="E76" s="92">
        <v>2023</v>
      </c>
    </row>
    <row r="77">
      <c r="B77" s="92" t="s">
        <v>117</v>
      </c>
      <c r="C77" s="94">
        <f>C37/C35</f>
        <v>-0.20000000000000001</v>
      </c>
      <c r="D77" s="94">
        <f>D37/D35</f>
        <v>-0.16</v>
      </c>
      <c r="E77" s="94">
        <f>E37/E35</f>
        <v>-0.045454545454545456</v>
      </c>
    </row>
    <row r="78">
      <c r="B78" s="92" t="s">
        <v>120</v>
      </c>
      <c r="C78" s="94">
        <f>C42/C40</f>
        <v>0.59999999999999998</v>
      </c>
      <c r="D78" s="94">
        <f>D42/D40</f>
        <v>0.47999999999999998</v>
      </c>
      <c r="E78" s="94">
        <f>E42/E40</f>
        <v>0.21666666666666667</v>
      </c>
    </row>
    <row r="79">
      <c r="B79" s="92" t="s">
        <v>121</v>
      </c>
      <c r="C79" s="94">
        <f>C47/C45</f>
        <v>0.40000000000000002</v>
      </c>
      <c r="D79" s="94">
        <f>D47/D45</f>
        <v>0.40000000000000002</v>
      </c>
      <c r="E79" s="94">
        <f>E47/E45</f>
        <v>0.40000000000000002</v>
      </c>
    </row>
    <row r="81">
      <c r="B81" s="90" t="s">
        <v>132</v>
      </c>
      <c r="C81" s="95" t="s">
        <v>121</v>
      </c>
    </row>
    <row r="83">
      <c r="A83" s="116">
        <v>4</v>
      </c>
      <c r="B83" s="90" t="s">
        <v>135</v>
      </c>
    </row>
    <row r="85" ht="163.5" customHeight="1">
      <c r="B85" s="117" t="s">
        <v>136</v>
      </c>
      <c r="C85" s="118"/>
      <c r="D85" s="118"/>
      <c r="E85" s="119"/>
    </row>
    <row r="87" ht="60.75" customHeight="1">
      <c r="A87" s="116">
        <v>5</v>
      </c>
      <c r="B87" s="96" t="s">
        <v>137</v>
      </c>
      <c r="C87" s="96"/>
      <c r="D87" s="96"/>
      <c r="E87" s="96"/>
    </row>
    <row r="89">
      <c r="B89" s="90" t="s">
        <v>132</v>
      </c>
    </row>
    <row r="90">
      <c r="B90" s="120" t="s">
        <v>138</v>
      </c>
      <c r="C90" s="121"/>
      <c r="D90" s="121"/>
      <c r="E90" s="122"/>
    </row>
    <row r="91">
      <c r="B91" s="123"/>
      <c r="C91" s="124"/>
      <c r="D91" s="124"/>
      <c r="E91" s="125"/>
    </row>
    <row r="92">
      <c r="B92" s="123"/>
      <c r="C92" s="124"/>
      <c r="D92" s="124"/>
      <c r="E92" s="125"/>
    </row>
    <row r="93">
      <c r="B93" s="123"/>
      <c r="C93" s="124"/>
      <c r="D93" s="124"/>
      <c r="E93" s="125"/>
    </row>
    <row r="94">
      <c r="B94" s="123"/>
      <c r="C94" s="124"/>
      <c r="D94" s="124"/>
      <c r="E94" s="125"/>
    </row>
    <row r="95">
      <c r="B95" s="126"/>
      <c r="C95" s="127"/>
      <c r="D95" s="127"/>
      <c r="E95" s="128"/>
    </row>
  </sheetData>
  <mergeCells count="6">
    <mergeCell ref="B2:E2"/>
    <mergeCell ref="B59:F59"/>
    <mergeCell ref="B72:E72"/>
    <mergeCell ref="B85:E85"/>
    <mergeCell ref="B87:E87"/>
    <mergeCell ref="B90:E9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000C00CF-005B-4B09-B4C5-00290060005F}" type="list" allowBlank="1" errorStyle="stop" imeMode="noControl" operator="between" showDropDown="0" showErrorMessage="1" showInputMessage="1">
          <x14:formula1>
            <xm:f>"eWatch, eTablet, ePhone"</xm:f>
          </x14:formula1>
          <xm:sqref>C81</xm:sqref>
        </x14:dataValidation>
        <x14:dataValidation xr:uid="{00DF00A5-00C2-4107-8511-009E00640075}" type="list" allowBlank="1" errorStyle="stop" imeMode="noControl" operator="between" showDropDown="0" showErrorMessage="1" showInputMessage="1">
          <x14:formula1>
            <xm:f>"Improved,Worsened"</xm:f>
          </x14:formula1>
          <xm:sqref>C57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15" workbookViewId="0">
      <selection activeCell="A13" activeCellId="0" sqref="A12:A13"/>
    </sheetView>
  </sheetViews>
  <sheetFormatPr defaultColWidth="11" defaultRowHeight="15.75"/>
  <cols>
    <col customWidth="1" min="1" max="1" width="62.625"/>
  </cols>
  <sheetData>
    <row r="1">
      <c r="A1" s="2" t="s">
        <v>139</v>
      </c>
    </row>
    <row r="3">
      <c r="A3" s="129" t="s">
        <v>140</v>
      </c>
      <c r="B3" s="129" t="s">
        <v>141</v>
      </c>
      <c r="C3" s="130" t="s">
        <v>142</v>
      </c>
    </row>
    <row r="4" ht="63">
      <c r="A4" s="131" t="s">
        <v>143</v>
      </c>
      <c r="B4" s="132" t="s">
        <v>41</v>
      </c>
      <c r="C4" s="133"/>
    </row>
    <row r="5" ht="62.100000000000001" customHeight="1">
      <c r="A5" s="131" t="s">
        <v>144</v>
      </c>
      <c r="B5" s="132" t="s">
        <v>14</v>
      </c>
      <c r="C5" s="133"/>
    </row>
    <row r="6" ht="47.25">
      <c r="A6" s="131" t="s">
        <v>145</v>
      </c>
      <c r="B6" s="132" t="s">
        <v>11</v>
      </c>
      <c r="C6" s="133"/>
    </row>
    <row r="7" ht="47.25">
      <c r="A7" s="131" t="s">
        <v>146</v>
      </c>
      <c r="B7" s="132" t="s">
        <v>21</v>
      </c>
      <c r="C7" s="133"/>
    </row>
    <row r="8" ht="63">
      <c r="A8" s="131" t="s">
        <v>147</v>
      </c>
      <c r="B8" s="132" t="s">
        <v>148</v>
      </c>
      <c r="C8" s="133"/>
    </row>
    <row r="9" ht="63">
      <c r="A9" s="131" t="s">
        <v>149</v>
      </c>
      <c r="B9" s="132" t="s">
        <v>150</v>
      </c>
      <c r="C9" s="133"/>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EC000B-00F4-4888-AEB1-00620052008D}" type="list" allowBlank="1" errorStyle="stop" imeMode="noControl" operator="between" showDropDown="0" showErrorMessage="1" showInputMessage="1">
          <x14:formula1>
            <xm:f>"Increase,Decrease,No change"</xm:f>
          </x14:formula1>
          <xm:sqref>C4:C9</xm:sqref>
        </x14:dataValidation>
      </x14:dataValidations>
    </ext>
  </extLst>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02B752A7F7B045A654E76EE94D2D3A" ma:contentTypeVersion="3" ma:contentTypeDescription="Create a new document." ma:contentTypeScope="" ma:versionID="4215b9e704be5d161ba1aad4d49aca4d">
  <xsd:schema xmlns:xsd="http://www.w3.org/2001/XMLSchema" xmlns:xs="http://www.w3.org/2001/XMLSchema" xmlns:p="http://schemas.microsoft.com/office/2006/metadata/properties" xmlns:ns2="fae806f6-f023-46bd-a0b6-7a3e9b23c51c" targetNamespace="http://schemas.microsoft.com/office/2006/metadata/properties" ma:root="true" ma:fieldsID="a5b5da177a5f3fa3ffbc571da91d5252" ns2:_="">
    <xsd:import namespace="fae806f6-f023-46bd-a0b6-7a3e9b23c51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e806f6-f023-46bd-a0b6-7a3e9b23c5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428ffb3-48d9-4e66-bdea-b6972d5248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e806f6-f023-46bd-a0b6-7a3e9b23c51c"/>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f22c1e-11ab-4512-8d82-b053692ebac4">
  <ds:schemaRefs>
    <ds:schemaRef ds:uri="http://schemas.microsoft.com/sharepoint/v3/contenttype/forms"/>
  </ds:schemaRefs>
</ds:datastoreItem>
</file>

<file path=customXml/itemProps3.xml><?xml version="1.0" encoding="utf-8"?>
<ds:datastoreItem xmlns:ds="http://schemas.openxmlformats.org/officeDocument/2006/customXml" ds:itemID="bba5d064-8820-4293-b13a-d4efdfde4002">
  <ds:schemaRefs>
    <ds:schemaRef ds:uri="http://schemas.microsoft.com/office/2006/metadata/properties"/>
    <ds:schemaRef ds:uri="http://www.w3.org/2001/XMLSchema-instanc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ONLYOFFICE/9.3.0.140</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Phuc Nguyen</dc:creator>
  <cp:keywords/>
  <dc:description/>
  <cp:revision>2</cp:revision>
  <dcterms:created xsi:type="dcterms:W3CDTF">2023-12-01T08:02:07Z</dcterms:created>
  <dcterms:modified xsi:type="dcterms:W3CDTF">2026-03-11T06:51:23Z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0x010100F202B752A7F7B045A654E76EE94D2D3A</vt:lpwstr>
  </property>
  <property fmtid="{D5CDD505-2E9C-101B-9397-08002B2CF9AE}" pid="3" name="MediaServiceImageTags">
    <vt:lpwstr/>
  </property>
  <property fmtid="{D5CDD505-2E9C-101B-9397-08002B2CF9AE}" pid="4" name="Order">
    <vt:r8>3400.000000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