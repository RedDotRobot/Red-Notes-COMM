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utorial Questions" sheetId="1" state="visible" r:id="rId4"/>
    <sheet name="Tutorial Activity" sheetId="2" state="visible" r:id="rId5"/>
  </sheets>
  <calcPr calcMode="manual" calcCompleted="0" calcOnSave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<sst xmlns="http://schemas.openxmlformats.org/spreadsheetml/2006/main" count="61" uniqueCount="61">
  <si>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 xml:space="preserve">Question 1</t>
  </si>
  <si>
    <t xml:space="preserve">Question 2</t>
  </si>
  <si>
    <t xml:space="preserve">Question 3</t>
  </si>
  <si>
    <t xml:space="preserve">Part a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</si>
  <si>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</si>
  <si>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</si>
  <si>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</si>
  <si>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</si>
  <si>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</si>
  <si>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>EBIT</t>
  </si>
  <si>
    <t xml:space="preserve">Year 0</t>
  </si>
  <si>
    <t xml:space="preserve">Accounts receivable</t>
  </si>
  <si>
    <t xml:space="preserve">Interest expense</t>
  </si>
  <si>
    <t>Revenue</t>
  </si>
  <si>
    <t>Inventory</t>
  </si>
  <si>
    <t xml:space="preserve">Depreciation expense</t>
  </si>
  <si>
    <t>COGS</t>
  </si>
  <si>
    <t xml:space="preserve">Accounts payable</t>
  </si>
  <si>
    <t>Capex</t>
  </si>
  <si>
    <t xml:space="preserve">Selling, General &amp; Admin expenses (SG&amp;A)</t>
  </si>
  <si>
    <t xml:space="preserve">Operating Net Working Capital (ONWC)</t>
  </si>
  <si>
    <t xml:space="preserve">Increase in ONWC</t>
  </si>
  <si>
    <t xml:space="preserve">Change in ONWC</t>
  </si>
  <si>
    <t xml:space="preserve">Tax rate</t>
  </si>
  <si>
    <t xml:space="preserve">Effect on Free Cash Flow</t>
  </si>
  <si>
    <t xml:space="preserve">* All figures are in millions of $</t>
  </si>
  <si>
    <t>EBIT*(1-t)</t>
  </si>
  <si>
    <t xml:space="preserve">+ Depreciation expense</t>
  </si>
  <si>
    <t xml:space="preserve">Net income (earnings)</t>
  </si>
  <si>
    <t xml:space="preserve">- Capital expenditures</t>
  </si>
  <si>
    <t xml:space="preserve">Free Cash Flow (FCF)</t>
  </si>
  <si>
    <t xml:space="preserve">- Operating net working capital</t>
  </si>
  <si>
    <t xml:space="preserve">= Free Cash Flow (FCF)</t>
  </si>
  <si>
    <t xml:space="preserve">Part b</t>
  </si>
  <si>
    <t xml:space="preserve">Market cap</t>
  </si>
  <si>
    <t>Debt</t>
  </si>
  <si>
    <t>Cash</t>
  </si>
  <si>
    <t xml:space="preserve">Enterprise Value (EV)</t>
  </si>
  <si>
    <t xml:space="preserve">Revenue </t>
  </si>
  <si>
    <t xml:space="preserve">EV/Sales </t>
  </si>
  <si>
    <t xml:space="preserve">Part 1. Calculate JB Hi-Fi's Free Cash Flow</t>
  </si>
  <si>
    <t xml:space="preserve">Part 2. Evaluate how JB Hi-Fi can utilise its free cash flow</t>
  </si>
  <si>
    <t xml:space="preserve">Report all financial figures in millions of dollars</t>
  </si>
  <si>
    <t xml:space="preserve">Reinvest the money
Issue dividends
Pay off debts
Expand/refurbish stores
Buy another company
Buy back share from shareholders</t>
  </si>
  <si>
    <t xml:space="preserve">Effective tax rate </t>
  </si>
  <si>
    <t xml:space="preserve">Income tax expense/Profit before tax - see page 68</t>
  </si>
  <si>
    <t xml:space="preserve">See page 64</t>
  </si>
  <si>
    <t xml:space="preserve">Part c</t>
  </si>
  <si>
    <t xml:space="preserve">Operating current assets</t>
  </si>
  <si>
    <t xml:space="preserve">Exclude cash &amp; cash equivalents - page 59</t>
  </si>
  <si>
    <t xml:space="preserve">Operating current liabilities</t>
  </si>
  <si>
    <t xml:space="preserve">Exclude borrowings, provisions, and lease liabilities - page 59</t>
  </si>
  <si>
    <t xml:space="preserve">Part d</t>
  </si>
  <si>
    <t xml:space="preserve">+ depreciation</t>
  </si>
  <si>
    <t xml:space="preserve">Page 78</t>
  </si>
  <si>
    <t xml:space="preserve">- change in ONWC</t>
  </si>
  <si>
    <t xml:space="preserve">- CAPEX</t>
  </si>
  <si>
    <t xml:space="preserve">Page 61</t>
  </si>
  <si>
    <t xml:space="preserve">Net cash (outlow) from investing activities</t>
  </si>
  <si>
    <t xml:space="preserve">= FCF</t>
  </si>
  <si>
    <t>https://investors.jbhifi.com.au/reports-and-presentations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</si>
</sst>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0.0"/>
  </numFmts>
  <fonts count="12">
    <font>
      <sz val="12.000000"/>
      <color theme="1"/>
      <name val="Calibri"/>
      <scheme val="minor"/>
    </font>
    <font>
      <b/>
      <sz val="12.000000"/>
      <color rgb="FFFA7D00"/>
      <name val="Calibri"/>
      <scheme val="minor"/>
    </font>
    <font>
      <sz val="11.000000"/>
      <color theme="1"/>
      <name val="Calibri"/>
      <scheme val="minor"/>
    </font>
    <font>
      <u/>
      <sz val="12.000000"/>
      <color theme="10"/>
      <name val="Calibri"/>
      <scheme val="minor"/>
    </font>
    <font>
      <b/>
      <sz val="11.000000"/>
      <color indexed="2"/>
      <name val="Calibri"/>
      <scheme val="minor"/>
    </font>
    <font>
      <b/>
      <sz val="12.000000"/>
      <color indexed="2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i/>
      <sz val="12.000000"/>
      <color theme="1"/>
      <name val="Calibri"/>
      <scheme val="minor"/>
    </font>
    <font>
      <sz val="12.000000"/>
      <color indexed="2"/>
      <name val="Calibri"/>
      <scheme val="minor"/>
    </font>
    <font>
      <sz val="12.000000"/>
      <color indexed="2"/>
      <name val="Calibri"/>
    </font>
    <font>
      <sz val="12.000000"/>
      <color indexed="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5"/>
      </patternFill>
    </fill>
    <fill>
      <patternFill patternType="solid">
        <fgColor theme="5" tint="0.79998168889431442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6">
    <xf fontId="0" fillId="0" borderId="0" numFmtId="0" applyNumberFormat="1" applyFont="1" applyFill="1" applyBorder="1"/>
    <xf fontId="1" fillId="2" borderId="1" numFmtId="0" applyNumberFormat="0" applyFont="1" applyFill="1" applyBorder="1" applyProtection="0"/>
    <xf fontId="2" fillId="0" borderId="0" numFmtId="164" applyNumberFormat="1" applyFont="0" applyFill="0" applyBorder="0" applyProtection="0"/>
    <xf fontId="3" fillId="0" borderId="0" numFmtId="0" applyNumberFormat="0" applyFont="1" applyFill="0" applyBorder="0" applyProtection="0"/>
    <xf fontId="2" fillId="0" borderId="0" numFmtId="9" applyNumberFormat="1" applyFont="0" applyFill="0" applyBorder="0" applyProtection="0"/>
    <xf fontId="0" fillId="0" borderId="0" numFmtId="9" applyNumberFormat="1" applyFont="0" applyFill="0" applyBorder="0" applyProtection="0"/>
  </cellStyleXfs>
  <cellXfs count="44">
    <xf fontId="0" fillId="0" borderId="0" numFmtId="0" xfId="0"/>
    <xf fontId="0" fillId="0" borderId="0" numFmtId="165" xfId="2" applyNumberFormat="1"/>
    <xf fontId="4" fillId="3" borderId="0" numFmtId="165" xfId="2" applyNumberFormat="1" applyFont="1" applyFill="1"/>
    <xf fontId="5" fillId="3" borderId="0" numFmtId="165" xfId="2" applyNumberFormat="1" applyFont="1" applyFill="1"/>
    <xf fontId="5" fillId="0" borderId="0" numFmtId="165" xfId="2" applyNumberFormat="1" applyFont="1"/>
    <xf fontId="0" fillId="0" borderId="2" numFmtId="165" xfId="2" applyNumberFormat="1" applyBorder="1"/>
    <xf fontId="6" fillId="0" borderId="2" numFmtId="165" xfId="2" applyNumberFormat="1" applyFont="1" applyBorder="1"/>
    <xf fontId="7" fillId="0" borderId="2" numFmtId="165" xfId="2" applyNumberFormat="1" applyFont="1" applyBorder="1"/>
    <xf fontId="0" fillId="0" borderId="2" numFmtId="165" xfId="2" applyNumberFormat="1" applyBorder="1" quotePrefix="1"/>
    <xf fontId="0" fillId="0" borderId="2" numFmtId="165" xfId="2" applyNumberFormat="1" applyBorder="1" applyAlignment="1" quotePrefix="1">
      <alignment wrapText="1"/>
    </xf>
    <xf fontId="6" fillId="0" borderId="2" numFmtId="165" xfId="2" applyNumberFormat="1" applyFont="1" applyBorder="1" applyAlignment="1">
      <alignment wrapText="1"/>
    </xf>
    <xf fontId="1" fillId="4" borderId="2" numFmtId="165" xfId="1" applyNumberFormat="1" applyFont="1" applyFill="1" applyBorder="1"/>
    <xf fontId="0" fillId="0" borderId="2" numFmtId="9" xfId="4" applyNumberFormat="1" applyBorder="1"/>
    <xf fontId="7" fillId="0" borderId="2" numFmtId="165" xfId="2" applyNumberFormat="1" applyFont="1" applyBorder="1" quotePrefix="1"/>
    <xf fontId="6" fillId="0" borderId="0" numFmtId="165" xfId="2" applyNumberFormat="1" applyFont="1"/>
    <xf fontId="1" fillId="4" borderId="1" numFmtId="164" xfId="1" applyNumberFormat="1" applyFont="1" applyFill="1" applyBorder="1"/>
    <xf fontId="7" fillId="4" borderId="2" numFmtId="165" xfId="2" applyNumberFormat="1" applyFont="1" applyFill="1" applyBorder="1"/>
    <xf fontId="7" fillId="4" borderId="2" numFmtId="164" xfId="2" applyNumberFormat="1" applyFont="1" applyFill="1" applyBorder="1"/>
    <xf fontId="5" fillId="3" borderId="0" numFmtId="0" xfId="0" applyFont="1" applyFill="1" applyAlignment="1">
      <alignment horizontal="left"/>
    </xf>
    <xf fontId="8" fillId="0" borderId="0" numFmtId="0" xfId="0" applyFont="1"/>
    <xf fontId="5" fillId="0" borderId="0" numFmtId="0" xfId="0" applyFont="1" applyAlignment="1">
      <alignment horizontal="center"/>
    </xf>
    <xf fontId="0" fillId="0" borderId="3" numFmtId="0" xfId="0" applyBorder="1" applyAlignment="1">
      <alignment horizontal="left" vertical="center" wrapText="1"/>
    </xf>
    <xf fontId="0" fillId="0" borderId="4" numFmtId="0" xfId="0" applyBorder="1" applyAlignment="1">
      <alignment horizontal="left" vertical="center" wrapText="1"/>
    </xf>
    <xf fontId="0" fillId="0" borderId="5" numFmtId="0" xfId="0" applyBorder="1" applyAlignment="1">
      <alignment horizontal="left" vertical="center" wrapText="1"/>
    </xf>
    <xf fontId="0" fillId="0" borderId="6" numFmtId="0" xfId="0" applyBorder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0" fillId="0" borderId="7" numFmtId="0" xfId="0" applyBorder="1" applyAlignment="1">
      <alignment horizontal="left" vertical="center" wrapText="1"/>
    </xf>
    <xf fontId="7" fillId="0" borderId="0" numFmtId="0" xfId="0" applyFont="1"/>
    <xf fontId="9" fillId="3" borderId="2" numFmtId="166" xfId="5" applyNumberFormat="1" applyFont="1" applyFill="1" applyBorder="1"/>
    <xf fontId="10" fillId="0" borderId="0" numFmtId="0" xfId="0" applyFont="1"/>
    <xf fontId="9" fillId="3" borderId="2" numFmtId="0" xfId="0" applyFont="1" applyFill="1" applyBorder="1"/>
    <xf fontId="9" fillId="0" borderId="0" numFmtId="0" xfId="0" applyFont="1"/>
    <xf fontId="0" fillId="0" borderId="2" numFmtId="0" xfId="0" applyBorder="1"/>
    <xf fontId="0" fillId="0" borderId="0" numFmtId="0" xfId="0" applyAlignment="1">
      <alignment wrapText="1"/>
    </xf>
    <xf fontId="0" fillId="3" borderId="2" numFmtId="0" xfId="0" applyFill="1" applyBorder="1"/>
    <xf fontId="0" fillId="0" borderId="2" numFmtId="167" xfId="0" applyNumberFormat="1" applyBorder="1"/>
    <xf fontId="0" fillId="0" borderId="0" numFmtId="0" xfId="0" quotePrefix="1"/>
    <xf fontId="11" fillId="0" borderId="0" numFmtId="0" xfId="0" applyFont="1"/>
    <xf fontId="7" fillId="0" borderId="0" numFmtId="0" xfId="0" applyFont="1" quotePrefix="1"/>
    <xf fontId="9" fillId="3" borderId="2" numFmtId="167" xfId="0" applyNumberFormat="1" applyFont="1" applyFill="1" applyBorder="1"/>
    <xf fontId="0" fillId="0" borderId="8" numFmtId="0" xfId="0" applyBorder="1" applyAlignment="1">
      <alignment horizontal="left" vertical="center" wrapText="1"/>
    </xf>
    <xf fontId="0" fillId="0" borderId="9" numFmtId="0" xfId="0" applyBorder="1" applyAlignment="1">
      <alignment horizontal="left" vertical="center" wrapText="1"/>
    </xf>
    <xf fontId="0" fillId="0" borderId="10" numFmtId="0" xfId="0" applyBorder="1" applyAlignment="1">
      <alignment horizontal="left" vertical="center" wrapText="1"/>
    </xf>
    <xf fontId="3" fillId="0" borderId="0" numFmtId="0" xfId="3" applyFont="1"/>
  </cellXfs>
  <cellStyles count="6">
    <cellStyle name="Calculation" xfId="1" builtinId="22"/>
    <cellStyle name="Comma 2" xfId="2"/>
    <cellStyle name="Hyperlink" xfId="3" builtinId="8"/>
    <cellStyle name="Normal" xfId="0" builtinId="0"/>
    <cellStyle name="Per cent 2" xfId="4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2</xdr:row>
      <xdr:rowOff>0</xdr:rowOff>
    </xdr:from>
    <xdr:to>
      <xdr:col>5</xdr:col>
      <xdr:colOff>104775</xdr:colOff>
      <xdr:row>12</xdr:row>
      <xdr:rowOff>104775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400050"/>
          <a:ext cx="6153149" cy="2105025"/>
        </a:xfrm>
        <a:prstGeom prst="rect">
          <a:avLst/>
        </a:prstGeom>
      </xdr:spPr>
    </xdr:pic>
    <xdr:clientData/>
  </xdr:twoCellAnchor>
  <xdr:twoCellAnchor editAs="oneCell">
    <xdr:from>
      <xdr:col>6</xdr:col>
      <xdr:colOff>1057275</xdr:colOff>
      <xdr:row>2</xdr:row>
      <xdr:rowOff>0</xdr:rowOff>
    </xdr:from>
    <xdr:to>
      <xdr:col>9</xdr:col>
      <xdr:colOff>685800</xdr:colOff>
      <xdr:row>10</xdr:row>
      <xdr:rowOff>114300</xdr:rowOff>
    </xdr:to>
    <xdr:pic>
      <xdr:nvPicPr>
        <xdr:cNvPr id="4" name="Picture 3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8172450" y="40005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13</xdr:col>
      <xdr:colOff>200025</xdr:colOff>
      <xdr:row>12</xdr:row>
      <xdr:rowOff>38100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1991975" y="400050"/>
          <a:ext cx="4572000" cy="20383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1</xdr:row>
      <xdr:rowOff>0</xdr:rowOff>
    </xdr:from>
    <xdr:to>
      <xdr:col>6</xdr:col>
      <xdr:colOff>468312</xdr:colOff>
      <xdr:row>23</xdr:row>
      <xdr:rowOff>67944</xdr:rowOff>
    </xdr:to>
    <xdr:sp>
      <xdr:nvSpPr>
        <xdr:cNvPr id="3" name="TextBox 2"/>
        <xdr:cNvSpPr txBox="1"/>
      </xdr:nvSpPr>
      <xdr:spPr bwMode="auto">
        <a:xfrm>
          <a:off x="0" y="198438"/>
          <a:ext cx="5516562" cy="463200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US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Week 7. Free Cash Flow Forecasting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>
            <a:defRPr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Part 1. </a:t>
          </a:r>
          <a:endParaRPr/>
        </a:p>
        <a:p>
          <a:pPr lvl="0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Search and download JB Hi-Fi’s 2025 Annual Report. In the spreadsheet provided, calculate the following: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a) The effective tax rate for 2025 using the income statement data.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b) Earnings Before Interest and Taxes (EBIT) for 2025.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c) Change in Operating Net Working Capital (ONWC) for 2025. Apply the following assumptions.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2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i. All current assets, except “cash and cash equivalents” are operating assets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2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ii. All current liabilities, except "borrowings”, "provisions",  and “lease liabilities", are operating liabilities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1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d) Free Cash Flow (FCF) for 2025. You will need to find the depreciation and CAPEX information in the annual report. Hints: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2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i. For depreciation, refer to Note 17: “Notes to the Cash Flow Statement”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2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ii. For CAPEX, look at the “Net Cash Flow from Investing Activities” in the Cash Flow Statement. 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n-US" sz="1100" i="1">
              <a:solidFill>
                <a:schemeClr val="dk1"/>
              </a:solidFill>
              <a:latin typeface="+mn-lt"/>
              <a:ea typeface="+mn-ea"/>
              <a:cs typeface="+mn-cs"/>
            </a:rPr>
            <a:t>Note: Please report all financial figures in millions of dollars.</a:t>
          </a:r>
          <a:endParaRPr lang="en-AU" sz="1100" i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lvl="0">
            <a:defRPr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Part 2. </a:t>
          </a:r>
          <a:endParaRPr/>
        </a:p>
        <a:p>
          <a:pPr lvl="0"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Evaluate how JB Hi-Fi can utilise its Free Cash Flow.</a:t>
          </a:r>
          <a:endParaRPr lang="en-AU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defRPr/>
          </a:pPr>
          <a:endParaRPr lang="en-AU" sz="1100"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investors.jbhifi.com.au/reports-and-presentations" TargetMode="External"/><Relationship 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C19" activeCellId="0" sqref="C19"/>
    </sheetView>
  </sheetViews>
  <sheetFormatPr defaultColWidth="14" defaultRowHeight="15.75"/>
  <cols>
    <col customWidth="1" min="1" max="1" style="1" width="23.375"/>
    <col min="2" max="6" style="1" width="14"/>
    <col customWidth="1" min="7" max="7" style="1" width="10.625"/>
    <col customWidth="1" min="8" max="8" style="1" width="22"/>
    <col min="9" max="9" style="1" width="14"/>
    <col customWidth="1" min="10" max="10" style="1" width="20.625"/>
    <col customWidth="1" min="11" max="11" style="1" width="29.375"/>
    <col min="12" max="16384" style="1" width="14"/>
  </cols>
  <sheetData>
    <row r="1">
      <c r="A1" s="2" t="s">
        <v>0</v>
      </c>
      <c r="H1" s="2" t="s">
        <v>1</v>
      </c>
      <c r="K1" s="3" t="s">
        <v>2</v>
      </c>
    </row>
    <row r="14">
      <c r="K14" s="4" t="s">
        <v>3</v>
      </c>
    </row>
    <row r="15">
      <c r="A15" s="5"/>
      <c r="B15" s="6" t="s">
        <v>4</v>
      </c>
      <c r="C15" s="6" t="s">
        <v>5</v>
      </c>
      <c r="D15" s="6" t="s">
        <v>6</v>
      </c>
      <c r="E15" s="6" t="s">
        <v>7</v>
      </c>
      <c r="F15" s="6" t="s">
        <v>8</v>
      </c>
      <c r="H15" s="5" t="s">
        <v>9</v>
      </c>
      <c r="I15" s="5">
        <v>100</v>
      </c>
      <c r="K15" s="5"/>
      <c r="L15" s="7" t="s">
        <v>10</v>
      </c>
      <c r="M15" s="7" t="s">
        <v>4</v>
      </c>
    </row>
    <row r="16">
      <c r="A16" s="5" t="s">
        <v>11</v>
      </c>
      <c r="B16" s="5">
        <v>21</v>
      </c>
      <c r="C16" s="5">
        <v>22</v>
      </c>
      <c r="D16" s="5">
        <v>24</v>
      </c>
      <c r="E16" s="5">
        <v>24</v>
      </c>
      <c r="F16" s="5">
        <v>24</v>
      </c>
      <c r="H16" s="5" t="s">
        <v>12</v>
      </c>
      <c r="I16" s="5">
        <v>40</v>
      </c>
      <c r="K16" s="5" t="s">
        <v>13</v>
      </c>
      <c r="L16" s="5">
        <v>500000</v>
      </c>
      <c r="M16" s="5">
        <v>500000</v>
      </c>
    </row>
    <row r="17">
      <c r="A17" s="5" t="s">
        <v>14</v>
      </c>
      <c r="B17" s="5">
        <v>5</v>
      </c>
      <c r="C17" s="5">
        <v>7</v>
      </c>
      <c r="D17" s="5">
        <v>10</v>
      </c>
      <c r="E17" s="5">
        <v>12</v>
      </c>
      <c r="F17" s="5">
        <v>13</v>
      </c>
      <c r="H17" s="5" t="s">
        <v>15</v>
      </c>
      <c r="I17" s="5">
        <v>15</v>
      </c>
      <c r="K17" s="8" t="s">
        <v>16</v>
      </c>
      <c r="L17" s="5">
        <v>200000</v>
      </c>
      <c r="M17" s="5">
        <v>200000</v>
      </c>
    </row>
    <row r="18" ht="31.5">
      <c r="A18" s="5" t="s">
        <v>17</v>
      </c>
      <c r="B18" s="5">
        <v>18</v>
      </c>
      <c r="C18" s="5">
        <v>22</v>
      </c>
      <c r="D18" s="5">
        <v>24</v>
      </c>
      <c r="E18" s="5">
        <v>25</v>
      </c>
      <c r="F18" s="5">
        <v>30</v>
      </c>
      <c r="H18" s="5" t="s">
        <v>18</v>
      </c>
      <c r="I18" s="5">
        <v>30</v>
      </c>
      <c r="K18" s="9" t="s">
        <v>19</v>
      </c>
      <c r="L18" s="5">
        <v>100000</v>
      </c>
      <c r="M18" s="5">
        <v>100000</v>
      </c>
    </row>
    <row r="19" ht="30">
      <c r="A19" s="10" t="s">
        <v>20</v>
      </c>
      <c r="B19" s="11"/>
      <c r="C19" s="11"/>
      <c r="D19" s="11"/>
      <c r="E19" s="11"/>
      <c r="F19" s="11"/>
      <c r="H19" s="5" t="s">
        <v>21</v>
      </c>
      <c r="I19" s="5">
        <v>5</v>
      </c>
      <c r="K19" s="5" t="s">
        <v>15</v>
      </c>
      <c r="L19" s="5"/>
      <c r="M19" s="5"/>
    </row>
    <row r="20">
      <c r="A20" s="6" t="s">
        <v>22</v>
      </c>
      <c r="B20" s="11"/>
      <c r="C20" s="11"/>
      <c r="D20" s="11"/>
      <c r="E20" s="11"/>
      <c r="F20" s="11"/>
      <c r="H20" s="5" t="s">
        <v>23</v>
      </c>
      <c r="I20" s="12">
        <v>0.34999999999999998</v>
      </c>
      <c r="K20" s="13" t="s">
        <v>9</v>
      </c>
      <c r="L20" s="7"/>
      <c r="M20" s="7"/>
    </row>
    <row r="21">
      <c r="A21" s="6" t="s">
        <v>24</v>
      </c>
      <c r="B21" s="11"/>
      <c r="C21" s="11"/>
      <c r="D21" s="11"/>
      <c r="E21" s="11"/>
      <c r="F21" s="11"/>
      <c r="H21" s="1" t="s">
        <v>25</v>
      </c>
      <c r="K21" s="7" t="s">
        <v>26</v>
      </c>
      <c r="L21" s="7"/>
      <c r="M21" s="7"/>
    </row>
    <row r="22">
      <c r="K22" s="8" t="s">
        <v>27</v>
      </c>
      <c r="L22" s="5"/>
      <c r="M22" s="5"/>
    </row>
    <row r="23">
      <c r="H23" s="14" t="s">
        <v>28</v>
      </c>
      <c r="I23" s="15"/>
      <c r="K23" s="8" t="s">
        <v>29</v>
      </c>
      <c r="L23" s="5"/>
      <c r="M23" s="5"/>
    </row>
    <row r="24">
      <c r="H24" s="14" t="s">
        <v>30</v>
      </c>
      <c r="I24" s="15"/>
      <c r="K24" s="8" t="s">
        <v>31</v>
      </c>
      <c r="L24" s="5"/>
      <c r="M24" s="5"/>
    </row>
    <row r="25">
      <c r="K25" s="13" t="s">
        <v>32</v>
      </c>
      <c r="L25" s="16"/>
      <c r="M25" s="16"/>
    </row>
    <row r="28">
      <c r="K28" s="4" t="s">
        <v>33</v>
      </c>
    </row>
    <row r="29">
      <c r="K29" s="5"/>
      <c r="L29" s="7" t="s">
        <v>10</v>
      </c>
    </row>
    <row r="30">
      <c r="K30" s="5" t="s">
        <v>34</v>
      </c>
      <c r="L30" s="5"/>
    </row>
    <row r="31">
      <c r="K31" s="5" t="s">
        <v>35</v>
      </c>
      <c r="L31" s="5"/>
    </row>
    <row r="32">
      <c r="K32" s="5" t="s">
        <v>36</v>
      </c>
      <c r="L32" s="5"/>
    </row>
    <row r="33">
      <c r="K33" s="7" t="s">
        <v>37</v>
      </c>
      <c r="L33" s="7"/>
    </row>
    <row r="34">
      <c r="K34" s="5" t="s">
        <v>38</v>
      </c>
      <c r="L34" s="5"/>
    </row>
    <row r="35">
      <c r="K35" s="7" t="s">
        <v>39</v>
      </c>
      <c r="L35" s="1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G28" activeCellId="0" sqref="G28"/>
    </sheetView>
  </sheetViews>
  <sheetFormatPr defaultColWidth="11" defaultRowHeight="15.75" customHeight="1"/>
  <cols>
    <col customWidth="1" min="9" max="9" width="23.875"/>
    <col customWidth="1" min="11" max="11" width="10.75390625"/>
    <col customWidth="1" min="12" max="12" width="12.625"/>
  </cols>
  <sheetData>
    <row r="1" ht="16.5">
      <c r="H1" s="18" t="s">
        <v>40</v>
      </c>
      <c r="I1" s="18"/>
      <c r="J1" s="18"/>
      <c r="M1" s="18" t="s">
        <v>41</v>
      </c>
      <c r="N1" s="18"/>
      <c r="O1" s="18"/>
      <c r="P1" s="18"/>
    </row>
    <row r="2" ht="16.5">
      <c r="H2" s="19" t="s">
        <v>42</v>
      </c>
      <c r="I2" s="20"/>
      <c r="J2" s="20"/>
      <c r="M2" s="21" t="s">
        <v>43</v>
      </c>
      <c r="N2" s="22"/>
      <c r="O2" s="22"/>
      <c r="P2" s="22"/>
      <c r="Q2" s="22"/>
      <c r="R2" s="23"/>
    </row>
    <row r="3">
      <c r="H3" s="19"/>
      <c r="I3" s="20"/>
      <c r="J3" s="20"/>
      <c r="M3" s="24"/>
      <c r="N3" s="25"/>
      <c r="O3" s="25"/>
      <c r="P3" s="25"/>
      <c r="Q3" s="25"/>
      <c r="R3" s="26"/>
    </row>
    <row r="4" ht="16.5">
      <c r="H4" s="27" t="s">
        <v>3</v>
      </c>
      <c r="I4" t="s">
        <v>44</v>
      </c>
      <c r="J4" s="28">
        <v>0.307</v>
      </c>
      <c r="K4" s="29" t="s">
        <v>45</v>
      </c>
      <c r="M4" s="24"/>
      <c r="N4" s="25"/>
      <c r="O4" s="25"/>
      <c r="P4" s="25"/>
      <c r="Q4" s="25"/>
      <c r="R4" s="26"/>
    </row>
    <row r="5" ht="16.5">
      <c r="H5" s="27" t="s">
        <v>33</v>
      </c>
      <c r="I5" t="s">
        <v>9</v>
      </c>
      <c r="J5" s="30">
        <v>694.10000000000002</v>
      </c>
      <c r="K5" s="29" t="s">
        <v>46</v>
      </c>
      <c r="M5" s="24"/>
      <c r="N5" s="25"/>
      <c r="O5" s="25"/>
      <c r="P5" s="25"/>
      <c r="Q5" s="25"/>
      <c r="R5" s="26"/>
    </row>
    <row r="6">
      <c r="H6" s="27"/>
      <c r="J6" s="31"/>
      <c r="M6" s="24"/>
      <c r="N6" s="25"/>
      <c r="O6" s="25"/>
      <c r="P6" s="25"/>
      <c r="Q6" s="25"/>
      <c r="R6" s="26"/>
    </row>
    <row r="7" ht="16.5">
      <c r="H7" s="27" t="s">
        <v>47</v>
      </c>
      <c r="J7" s="27">
        <v>2025</v>
      </c>
      <c r="K7" s="27">
        <v>2024</v>
      </c>
      <c r="M7" s="24"/>
      <c r="N7" s="25"/>
      <c r="O7" s="25"/>
      <c r="P7" s="25"/>
      <c r="Q7" s="25"/>
      <c r="R7" s="26"/>
    </row>
    <row r="8" ht="16.5">
      <c r="H8" s="27"/>
      <c r="I8" t="s">
        <v>48</v>
      </c>
      <c r="J8" s="32">
        <v>1531.5</v>
      </c>
      <c r="K8" s="32">
        <v>1268.5999999999999</v>
      </c>
      <c r="L8" s="29" t="s">
        <v>49</v>
      </c>
      <c r="M8" s="24"/>
      <c r="N8" s="25"/>
      <c r="O8" s="25"/>
      <c r="P8" s="25"/>
      <c r="Q8" s="25"/>
      <c r="R8" s="26"/>
    </row>
    <row r="9" ht="16.5">
      <c r="H9" s="27"/>
      <c r="I9" t="s">
        <v>50</v>
      </c>
      <c r="J9" s="32">
        <v>1212.8</v>
      </c>
      <c r="K9" s="32">
        <v>992.79999999999995</v>
      </c>
      <c r="L9" s="29" t="s">
        <v>51</v>
      </c>
      <c r="M9" s="24"/>
      <c r="N9" s="25"/>
      <c r="O9" s="25"/>
      <c r="P9" s="25"/>
      <c r="Q9" s="25"/>
      <c r="R9" s="26"/>
    </row>
    <row r="10" ht="33">
      <c r="I10" s="33" t="s">
        <v>20</v>
      </c>
      <c r="J10" s="34">
        <f>J8-J9</f>
        <v>318.70000000000005</v>
      </c>
      <c r="K10" s="34">
        <f>K8-K9</f>
        <v>275.79999999999995</v>
      </c>
      <c r="M10" s="24"/>
      <c r="N10" s="25"/>
      <c r="O10" s="25"/>
      <c r="P10" s="25"/>
      <c r="Q10" s="25"/>
      <c r="R10" s="26"/>
    </row>
    <row r="11" ht="16.5">
      <c r="I11" t="s">
        <v>22</v>
      </c>
      <c r="J11" s="30">
        <f>J10-K10</f>
        <v>42.900000000000091</v>
      </c>
      <c r="M11" s="24"/>
      <c r="N11" s="25"/>
      <c r="O11" s="25"/>
      <c r="P11" s="25"/>
      <c r="Q11" s="25"/>
      <c r="R11" s="26"/>
    </row>
    <row r="12" ht="15.75" customHeight="1">
      <c r="M12" s="24"/>
      <c r="N12" s="25"/>
      <c r="O12" s="25"/>
      <c r="P12" s="25"/>
      <c r="Q12" s="25"/>
      <c r="R12" s="26"/>
    </row>
    <row r="13" ht="16.5">
      <c r="H13" s="27" t="s">
        <v>52</v>
      </c>
      <c r="M13" s="24"/>
      <c r="N13" s="25"/>
      <c r="O13" s="25"/>
      <c r="P13" s="25"/>
      <c r="Q13" s="25"/>
      <c r="R13" s="26"/>
    </row>
    <row r="14" ht="16.5">
      <c r="I14" t="s">
        <v>26</v>
      </c>
      <c r="J14" s="35">
        <f>(1-J4)*J5</f>
        <v>481.01130000000006</v>
      </c>
      <c r="M14" s="24"/>
      <c r="N14" s="25"/>
      <c r="O14" s="25"/>
      <c r="P14" s="25"/>
      <c r="Q14" s="25"/>
      <c r="R14" s="26"/>
    </row>
    <row r="15" ht="16.5">
      <c r="I15" s="36" t="s">
        <v>53</v>
      </c>
      <c r="J15" s="32">
        <v>255.40000000000001</v>
      </c>
      <c r="K15" s="29" t="s">
        <v>54</v>
      </c>
      <c r="M15" s="24"/>
      <c r="N15" s="25"/>
      <c r="O15" s="25"/>
      <c r="P15" s="25"/>
      <c r="Q15" s="25"/>
      <c r="R15" s="26"/>
    </row>
    <row r="16" ht="16.5">
      <c r="I16" s="36" t="s">
        <v>55</v>
      </c>
      <c r="J16" s="32">
        <f>J11</f>
        <v>42.900000000000091</v>
      </c>
      <c r="K16" s="37"/>
      <c r="M16" s="24"/>
      <c r="N16" s="25"/>
      <c r="O16" s="25"/>
      <c r="P16" s="25"/>
      <c r="Q16" s="25"/>
      <c r="R16" s="26"/>
    </row>
    <row r="17" ht="16.5">
      <c r="I17" s="36" t="s">
        <v>56</v>
      </c>
      <c r="J17" s="32">
        <v>122.90000000000001</v>
      </c>
      <c r="K17" s="29" t="s">
        <v>57</v>
      </c>
      <c r="L17" s="37" t="s">
        <v>58</v>
      </c>
      <c r="M17" s="24"/>
      <c r="N17" s="25"/>
      <c r="O17" s="25"/>
      <c r="P17" s="25"/>
      <c r="Q17" s="25"/>
      <c r="R17" s="26"/>
    </row>
    <row r="18" ht="16.5">
      <c r="I18" s="38" t="s">
        <v>59</v>
      </c>
      <c r="J18" s="39">
        <f>J14+J15-J16-J17</f>
        <v>570.61130000000003</v>
      </c>
      <c r="M18" s="40"/>
      <c r="N18" s="41"/>
      <c r="O18" s="41"/>
      <c r="P18" s="41"/>
      <c r="Q18" s="41"/>
      <c r="R18" s="42"/>
    </row>
    <row r="21" ht="15.949999999999999" customHeight="1"/>
    <row r="26" ht="16.5">
      <c r="A26" s="43" t="s">
        <v>60</v>
      </c>
    </row>
  </sheetData>
  <mergeCells count="3">
    <mergeCell ref="H1:J1"/>
    <mergeCell ref="M1:P1"/>
    <mergeCell ref="M2:R18"/>
  </mergeCells>
  <hyperlinks>
    <hyperlink r:id="rId1" ref="A26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2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2B752A7F7B045A654E76EE94D2D3A" ma:contentTypeVersion="3" ma:contentTypeDescription="Create a new document." ma:contentTypeScope="" ma:versionID="4215b9e704be5d161ba1aad4d49aca4d">
  <xsd:schema xmlns:xsd="http://www.w3.org/2001/XMLSchema" xmlns:xs="http://www.w3.org/2001/XMLSchema" xmlns:p="http://schemas.microsoft.com/office/2006/metadata/properties" xmlns:ns2="fae806f6-f023-46bd-a0b6-7a3e9b23c51c" targetNamespace="http://schemas.microsoft.com/office/2006/metadata/properties" ma:root="true" ma:fieldsID="a5b5da177a5f3fa3ffbc571da91d5252" ns2:_="">
    <xsd:import namespace="fae806f6-f023-46bd-a0b6-7a3e9b23c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806f6-f023-46bd-a0b6-7a3e9b23c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dd3b10d1-4448-412a-aa68-65903493dca0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806f6-f023-46bd-a0b6-7a3e9b23c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a92a6098-ec84-4fbb-8c46-451ad26d0a02">
  <ds:schemaRefs>
    <ds:schemaRef ds:uri="http://schemas.microsoft.com/office/2006/metadata/properties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6beae006-d61c-424a-84ae-f99483629fe9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Phuc Nguyen</dc:creator>
  <cp:keywords/>
  <dc:description/>
  <cp:revision>1</cp:revision>
  <dcterms:created xsi:type="dcterms:W3CDTF">2023-12-03T03:50:31Z</dcterms:created>
  <dcterms:modified xsi:type="dcterms:W3CDTF">2026-04-01T06:09:51Z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0x010100F202B752A7F7B045A654E76EE94D2D3A</vt:lpwstr>
  </property>
  <property fmtid="{D5CDD505-2E9C-101B-9397-08002B2CF9AE}" pid="3" name="MediaServiceImageTags">
    <vt:lpwstr/>
  </property>
  <property fmtid="{D5CDD505-2E9C-101B-9397-08002B2CF9AE}" pid="4" name="Order">
    <vt:r8>3800.000000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